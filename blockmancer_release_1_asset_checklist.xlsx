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inh.pc\Downloads\"/>
    </mc:Choice>
  </mc:AlternateContent>
  <xr:revisionPtr revIDLastSave="0" documentId="13_ncr:1_{BF576804-11B3-4551-B6BF-FD2D4CAE6C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00 Global Placeholder" sheetId="2" r:id="rId2"/>
    <sheet name="01 BGM" sheetId="3" r:id="rId3"/>
    <sheet name="02 Ambient Audio" sheetId="4" r:id="rId4"/>
    <sheet name="03 SFX - Board" sheetId="5" r:id="rId5"/>
    <sheet name="04 SFX - Special Blocks" sheetId="6" r:id="rId6"/>
    <sheet name="05 SFX - Combat" sheetId="7" r:id="rId7"/>
    <sheet name="06 SFX - Spells" sheetId="8" r:id="rId8"/>
    <sheet name="07 SFX - UI" sheetId="9" r:id="rId9"/>
    <sheet name="08 BG - Scenes" sheetId="10" r:id="rId10"/>
    <sheet name="09 BG - Stage Battle Parallax" sheetId="11" r:id="rId11"/>
    <sheet name="10 BG - Boss Arenas" sheetId="12" r:id="rId12"/>
    <sheet name="11 Map - Map BGs" sheetId="13" r:id="rId13"/>
    <sheet name="12 Map - Node States" sheetId="14" r:id="rId14"/>
    <sheet name="13 Map - Paths and Decorations" sheetId="15" r:id="rId15"/>
    <sheet name="14 - Heroes" sheetId="16" r:id="rId16"/>
    <sheet name="15 - Monsters" sheetId="17" r:id="rId17"/>
    <sheet name="16 - Bosses" sheetId="18" r:id="rId18"/>
    <sheet name="17 - NPCs" sheetId="19" r:id="rId19"/>
    <sheet name="18 - Board Blocks" sheetId="20" r:id="rId20"/>
    <sheet name="19 and VFX - Spells" sheetId="21" r:id="rId21"/>
    <sheet name="20 - Items" sheetId="22" r:id="rId22"/>
    <sheet name="21 - Relics" sheetId="23" r:id="rId23"/>
    <sheet name="22 - Upgrades" sheetId="24" r:id="rId24"/>
    <sheet name="23 and - Weapons" sheetId="25" r:id="rId25"/>
    <sheet name="24 - Status Effects" sheetId="26" r:id="rId26"/>
    <sheet name="25 - Oopsies" sheetId="27" r:id="rId27"/>
    <sheet name="26 - Festival Chaos Rules" sheetId="28" r:id="rId28"/>
    <sheet name="27 - Battle Objectives" sheetId="29" r:id="rId29"/>
    <sheet name="28 - Events" sheetId="30" r:id="rId30"/>
    <sheet name="29 - Boss Rule Cards" sheetId="31" r:id="rId31"/>
    <sheet name="30 - Currency Collect" sheetId="32" r:id="rId32"/>
    <sheet name="31 and - Hub Buildings" sheetId="33" r:id="rId33"/>
    <sheet name="32 UI - Panels Frames" sheetId="34" r:id="rId34"/>
    <sheet name="33 UI - Buttons" sheetId="35" r:id="rId35"/>
    <sheet name="34 UI - Controls" sheetId="36" r:id="rId36"/>
    <sheet name="35 UI - HUD" sheetId="37" r:id="rId37"/>
    <sheet name="36 VFX - VFX" sheetId="38" r:id="rId38"/>
    <sheet name="37 Font" sheetId="39" r:id="rId39"/>
    <sheet name="38 Store" sheetId="40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F43" i="1" s="1"/>
  <c r="C43" i="1"/>
  <c r="E43" i="1" s="1"/>
  <c r="D42" i="1"/>
  <c r="F42" i="1" s="1"/>
  <c r="C42" i="1"/>
  <c r="E42" i="1" s="1"/>
  <c r="F41" i="1"/>
  <c r="D41" i="1"/>
  <c r="C41" i="1"/>
  <c r="E41" i="1" s="1"/>
  <c r="D40" i="1"/>
  <c r="F40" i="1" s="1"/>
  <c r="C40" i="1"/>
  <c r="E40" i="1" s="1"/>
  <c r="D39" i="1"/>
  <c r="F39" i="1" s="1"/>
  <c r="C39" i="1"/>
  <c r="E39" i="1" s="1"/>
  <c r="D38" i="1"/>
  <c r="F38" i="1" s="1"/>
  <c r="C38" i="1"/>
  <c r="E38" i="1" s="1"/>
  <c r="D37" i="1"/>
  <c r="F37" i="1" s="1"/>
  <c r="C37" i="1"/>
  <c r="E37" i="1" s="1"/>
  <c r="D36" i="1"/>
  <c r="F36" i="1" s="1"/>
  <c r="C36" i="1"/>
  <c r="E36" i="1" s="1"/>
  <c r="D35" i="1"/>
  <c r="F35" i="1" s="1"/>
  <c r="C35" i="1"/>
  <c r="E35" i="1" s="1"/>
  <c r="D34" i="1"/>
  <c r="F34" i="1" s="1"/>
  <c r="C34" i="1"/>
  <c r="E34" i="1" s="1"/>
  <c r="D33" i="1"/>
  <c r="F33" i="1" s="1"/>
  <c r="C33" i="1"/>
  <c r="E33" i="1" s="1"/>
  <c r="D32" i="1"/>
  <c r="F32" i="1" s="1"/>
  <c r="C32" i="1"/>
  <c r="E32" i="1" s="1"/>
  <c r="D31" i="1"/>
  <c r="F31" i="1" s="1"/>
  <c r="C31" i="1"/>
  <c r="E31" i="1" s="1"/>
  <c r="D30" i="1"/>
  <c r="F30" i="1" s="1"/>
  <c r="C30" i="1"/>
  <c r="E30" i="1" s="1"/>
  <c r="D29" i="1"/>
  <c r="F29" i="1" s="1"/>
  <c r="C29" i="1"/>
  <c r="E29" i="1" s="1"/>
  <c r="D28" i="1"/>
  <c r="F28" i="1" s="1"/>
  <c r="C28" i="1"/>
  <c r="E28" i="1" s="1"/>
  <c r="D27" i="1"/>
  <c r="F27" i="1" s="1"/>
  <c r="C27" i="1"/>
  <c r="E27" i="1" s="1"/>
  <c r="D26" i="1"/>
  <c r="F26" i="1" s="1"/>
  <c r="C26" i="1"/>
  <c r="E26" i="1" s="1"/>
  <c r="D25" i="1"/>
  <c r="F25" i="1" s="1"/>
  <c r="C25" i="1"/>
  <c r="E25" i="1" s="1"/>
  <c r="D24" i="1"/>
  <c r="F24" i="1" s="1"/>
  <c r="C24" i="1"/>
  <c r="E24" i="1" s="1"/>
  <c r="D23" i="1"/>
  <c r="F23" i="1" s="1"/>
  <c r="C23" i="1"/>
  <c r="E23" i="1" s="1"/>
  <c r="D22" i="1"/>
  <c r="C22" i="1"/>
  <c r="D21" i="1"/>
  <c r="F21" i="1" s="1"/>
  <c r="C21" i="1"/>
  <c r="E21" i="1" s="1"/>
  <c r="D20" i="1"/>
  <c r="F20" i="1" s="1"/>
  <c r="C20" i="1"/>
  <c r="E20" i="1" s="1"/>
  <c r="F19" i="1"/>
  <c r="D19" i="1"/>
  <c r="C19" i="1"/>
  <c r="E19" i="1" s="1"/>
  <c r="D18" i="1"/>
  <c r="F18" i="1" s="1"/>
  <c r="C18" i="1"/>
  <c r="E18" i="1" s="1"/>
  <c r="D17" i="1"/>
  <c r="F17" i="1" s="1"/>
  <c r="C17" i="1"/>
  <c r="E17" i="1" s="1"/>
  <c r="D16" i="1"/>
  <c r="F16" i="1" s="1"/>
  <c r="C16" i="1"/>
  <c r="E16" i="1" s="1"/>
  <c r="D15" i="1"/>
  <c r="F15" i="1" s="1"/>
  <c r="C15" i="1"/>
  <c r="E15" i="1" s="1"/>
  <c r="F14" i="1"/>
  <c r="D14" i="1"/>
  <c r="C14" i="1"/>
  <c r="E14" i="1" s="1"/>
  <c r="D13" i="1"/>
  <c r="F13" i="1" s="1"/>
  <c r="C13" i="1"/>
  <c r="E13" i="1" s="1"/>
  <c r="D12" i="1"/>
  <c r="F12" i="1" s="1"/>
  <c r="C12" i="1"/>
  <c r="E12" i="1" s="1"/>
  <c r="D11" i="1"/>
  <c r="F11" i="1" s="1"/>
  <c r="C11" i="1"/>
  <c r="E11" i="1" s="1"/>
  <c r="D10" i="1"/>
  <c r="F10" i="1" s="1"/>
  <c r="C10" i="1"/>
  <c r="E10" i="1" s="1"/>
  <c r="D9" i="1"/>
  <c r="F9" i="1" s="1"/>
  <c r="C9" i="1"/>
  <c r="E9" i="1" s="1"/>
  <c r="D8" i="1"/>
  <c r="F8" i="1" s="1"/>
  <c r="C8" i="1"/>
  <c r="E8" i="1" s="1"/>
  <c r="D7" i="1"/>
  <c r="F7" i="1" s="1"/>
  <c r="C7" i="1"/>
  <c r="E7" i="1" s="1"/>
  <c r="D6" i="1"/>
  <c r="F6" i="1" s="1"/>
  <c r="C6" i="1"/>
  <c r="E6" i="1" s="1"/>
  <c r="D5" i="1"/>
  <c r="F5" i="1" s="1"/>
  <c r="C5" i="1"/>
  <c r="E5" i="1" l="1"/>
  <c r="F22" i="1"/>
  <c r="E22" i="1"/>
</calcChain>
</file>

<file path=xl/sharedStrings.xml><?xml version="1.0" encoding="utf-8"?>
<sst xmlns="http://schemas.openxmlformats.org/spreadsheetml/2006/main" count="5319" uniqueCount="2128">
  <si>
    <t>Blockmancer Release 1.0 Asset Checklist</t>
  </si>
  <si>
    <t>Done? cells use an Excel-friendly checkbox symbol. Default is ☐; change to ☑ when complete.</t>
  </si>
  <si>
    <t>Category Sheet</t>
  </si>
  <si>
    <t>Original Category</t>
  </si>
  <si>
    <t>Total Assets</t>
  </si>
  <si>
    <t>Done</t>
  </si>
  <si>
    <t>Remaining</t>
  </si>
  <si>
    <t>Progress</t>
  </si>
  <si>
    <t>00 Global Placeholder</t>
  </si>
  <si>
    <t>0. Global Placeholder Assets</t>
  </si>
  <si>
    <t>01 BGM</t>
  </si>
  <si>
    <t>1. Background Music Assets</t>
  </si>
  <si>
    <t>02 Ambient Audio</t>
  </si>
  <si>
    <t>2. Ambient Audio Assets</t>
  </si>
  <si>
    <t>03 SFX - Board</t>
  </si>
  <si>
    <t>3. Sound Effect Assets — Board</t>
  </si>
  <si>
    <t>04 SFX - Special Blocks</t>
  </si>
  <si>
    <t>4. Sound Effect Assets — Special Blocks</t>
  </si>
  <si>
    <t>05 SFX - Combat</t>
  </si>
  <si>
    <t>5. Sound Effect Assets — Combat</t>
  </si>
  <si>
    <t>06 SFX - Spells</t>
  </si>
  <si>
    <t>6. Sound Effect Assets — Spells</t>
  </si>
  <si>
    <t>07 SFX - UI</t>
  </si>
  <si>
    <t>7. Sound Effect Assets — UI</t>
  </si>
  <si>
    <t>08 BG - Scenes</t>
  </si>
  <si>
    <t>8. Background Assets — Scenes</t>
  </si>
  <si>
    <t>09 BG - Stage Battle Parallax</t>
  </si>
  <si>
    <t>9. Background Assets — Stage Battle Parallax</t>
  </si>
  <si>
    <t>10 BG - Boss Arenas</t>
  </si>
  <si>
    <t>10. Background Assets — Boss Arenas</t>
  </si>
  <si>
    <t>11 Map - Map BGs</t>
  </si>
  <si>
    <t>11. Map Assets — Map Backgrounds</t>
  </si>
  <si>
    <t>12 Map - Node States</t>
  </si>
  <si>
    <t>12. Map Assets — Node States</t>
  </si>
  <si>
    <t>13 Map - Paths and Decorations</t>
  </si>
  <si>
    <t>13. Map Assets — Paths and Decorations</t>
  </si>
  <si>
    <t>14 - Heroes</t>
  </si>
  <si>
    <t>14. Sprite Assets — Playable Heroes</t>
  </si>
  <si>
    <t>15 - Monsters</t>
  </si>
  <si>
    <t>15. Sprite Assets — Regular Monsters</t>
  </si>
  <si>
    <t>16 - Bosses</t>
  </si>
  <si>
    <t>16. Sprite Assets — Bosses</t>
  </si>
  <si>
    <t>17 - NPCs</t>
  </si>
  <si>
    <t>17. Sprite Assets — NPCs</t>
  </si>
  <si>
    <t>18 - Board Blocks</t>
  </si>
  <si>
    <t>18. Sprite Assets — Board Blocks and Board UI</t>
  </si>
  <si>
    <t>19 and VFX - Spells</t>
  </si>
  <si>
    <t>19. Icon and VFX Assets — Spells</t>
  </si>
  <si>
    <t>20 - Items</t>
  </si>
  <si>
    <t>20. Icon Assets — Items and Reactive Counter Items</t>
  </si>
  <si>
    <t>21 - Relics</t>
  </si>
  <si>
    <t>21. Icon Assets — Relics</t>
  </si>
  <si>
    <t>22 - Upgrades</t>
  </si>
  <si>
    <t>22. Icon Assets — Upgrades</t>
  </si>
  <si>
    <t>23 and - Weapons</t>
  </si>
  <si>
    <t>23. Icon and Sprite Assets — Weapons</t>
  </si>
  <si>
    <t>24 - Status Effects</t>
  </si>
  <si>
    <t>24. Icon Assets — Status Effects</t>
  </si>
  <si>
    <t>25 - Oopsies</t>
  </si>
  <si>
    <t>25. Icon Assets — Oopsies / Silly Drawbacks</t>
  </si>
  <si>
    <t>26 - Festival Chaos Rules</t>
  </si>
  <si>
    <t>26. Icon Assets — Festival Chaos Rules</t>
  </si>
  <si>
    <t>27 - Battle Objectives</t>
  </si>
  <si>
    <t>27. Icon Assets — Battle Objectives</t>
  </si>
  <si>
    <t>28 - Events</t>
  </si>
  <si>
    <t>28. Icon Assets — Room Events and Random Gameplay Events</t>
  </si>
  <si>
    <t>29 - Boss Rule Cards</t>
  </si>
  <si>
    <t>29. Icon Assets — Boss Rule Cards</t>
  </si>
  <si>
    <t>30 - Currency Collect</t>
  </si>
  <si>
    <t>30. Icon Assets — Currencies and Collectibles</t>
  </si>
  <si>
    <t>31 and - Hub Buildings</t>
  </si>
  <si>
    <t>31. Sprite and Icon Assets — Festival Hub Buildings</t>
  </si>
  <si>
    <t>32 UI - Panels Frames</t>
  </si>
  <si>
    <t>32. UI Assets — Panels and Frames</t>
  </si>
  <si>
    <t>33 UI - Buttons</t>
  </si>
  <si>
    <t>33. UI Assets — Buttons</t>
  </si>
  <si>
    <t>34 UI - Controls</t>
  </si>
  <si>
    <t>34. UI Assets — Mobile Controls</t>
  </si>
  <si>
    <t>35 UI - HUD</t>
  </si>
  <si>
    <t>35. UI Assets — HUD and Meters</t>
  </si>
  <si>
    <t>36 VFX - VFX</t>
  </si>
  <si>
    <t>36. VFX Assets — Board, Combat, and Status</t>
  </si>
  <si>
    <t>37 Font</t>
  </si>
  <si>
    <t>37. Font Assets</t>
  </si>
  <si>
    <t>38 Store</t>
  </si>
  <si>
    <t>38. Store and Platform Assets</t>
  </si>
  <si>
    <t>Tracking sheet generated from the uploaded markdown. Done? is unchecked by default.</t>
  </si>
  <si>
    <t>Done?</t>
  </si>
  <si>
    <t>Asset Key</t>
  </si>
  <si>
    <t>Suggested Path</t>
  </si>
  <si>
    <t>Designer Description</t>
  </si>
  <si>
    <t>Priority</t>
  </si>
  <si>
    <t>☐</t>
  </si>
  <si>
    <t>placeholder_texture_missing</t>
  </si>
  <si>
    <t>public/assets/placeholders/placeholder_texture_missing.png</t>
  </si>
  <si>
    <t>Checker or cute warning texture for any missing generic image.</t>
  </si>
  <si>
    <t>P0 fallback</t>
  </si>
  <si>
    <t>placeholder_sprite_actor_idle</t>
  </si>
  <si>
    <t>public/assets/placeholders/placeholder_sprite_actor_idle.png</t>
  </si>
  <si>
    <t>Simple neutral character silhouette used when a hero, monster, boss, or NPC sprite is missing.</t>
  </si>
  <si>
    <t>placeholder_icon_missing</t>
  </si>
  <si>
    <t>public/assets/placeholders/placeholder_icon_missing.png</t>
  </si>
  <si>
    <t>Readable missing icon tile with question mark or tiny rune symbol.</t>
  </si>
  <si>
    <t>placeholder_bg_missing</t>
  </si>
  <si>
    <t>public/assets/placeholders/placeholder_bg_missing.png</t>
  </si>
  <si>
    <t>Simple colorful fallback scene background that does not break battle readability.</t>
  </si>
  <si>
    <t>placeholder_audio_silence</t>
  </si>
  <si>
    <t>public/assets/placeholders/placeholder_audio_silence.ogg</t>
  </si>
  <si>
    <t>Silent audio file used when a BGM or SFX key is missing.</t>
  </si>
  <si>
    <t>placeholder_vfx_sparkle</t>
  </si>
  <si>
    <t>public/assets/placeholders/placeholder_vfx_sparkle.png</t>
  </si>
  <si>
    <t>Small generic sparkle burst for missing VFX hooks.</t>
  </si>
  <si>
    <t>Suggested Folder</t>
  </si>
  <si>
    <t>bgm_title_festival_loop</t>
  </si>
  <si>
    <t>audio/bgm/</t>
  </si>
  <si>
    <t>Upbeat magical festival title theme with bright bells and playful rhythm.</t>
  </si>
  <si>
    <t>P0</t>
  </si>
  <si>
    <t>bgm_main_menu_cozy_loop</t>
  </si>
  <si>
    <t>Soft cozy menu loop that feels welcoming and low-pressure.</t>
  </si>
  <si>
    <t>bgm_hub_brixonia_loop</t>
  </si>
  <si>
    <t>Cheerful town hub loop with festival crowd warmth and toy-like melody.</t>
  </si>
  <si>
    <t>P1</t>
  </si>
  <si>
    <t>bgm_map_adventure_loop</t>
  </si>
  <si>
    <t>Light adventure map music for choosing roguelike nodes.</t>
  </si>
  <si>
    <t>bgm_tutorial_playful_loop</t>
  </si>
  <si>
    <t>Simple friendly tutorial loop with clear, non-distracting energy.</t>
  </si>
  <si>
    <t>bgm_shop_marnie_loop</t>
  </si>
  <si>
    <t>Cute shop music with small bells and merchant charm.</t>
  </si>
  <si>
    <t>bgm_reward_sparkle_loop</t>
  </si>
  <si>
    <t>Short reward-choice loop with glittery anticipation.</t>
  </si>
  <si>
    <t>bgm_event_silly_loop</t>
  </si>
  <si>
    <t>Whimsical loop for random events and funny choices.</t>
  </si>
  <si>
    <t>bgm_rest_cozy_loop</t>
  </si>
  <si>
    <t>Relaxed safe-room loop for rest nodes and recovery.</t>
  </si>
  <si>
    <t>bgm_treasure_twinkle_loop</t>
  </si>
  <si>
    <t>Sparkly treasure-room loop with magical chest energy.</t>
  </si>
  <si>
    <t>bgm_victory_fanfare</t>
  </si>
  <si>
    <t>Short bright fanfare for battle victory and room completion.</t>
  </si>
  <si>
    <t>bgm_defeat_soft_stinger</t>
  </si>
  <si>
    <t>Gentle defeat sting that is funny/sad but not dark.</t>
  </si>
  <si>
    <t>bgm_ending_normal_loop</t>
  </si>
  <si>
    <t>Warm ending loop for festival saved with minor chaos remaining.</t>
  </si>
  <si>
    <t>P2</t>
  </si>
  <si>
    <t>bgm_ending_true_loop</t>
  </si>
  <si>
    <t>Bigger heartfelt ending loop for true ending celebration.</t>
  </si>
  <si>
    <t>bgm_stage_sprinkle_sewers_loop</t>
  </si>
  <si>
    <t>Candy sewer battle loop: bubbly, sweet, beginner-friendly.</t>
  </si>
  <si>
    <t>bgm_stage_goblin_workshop_loop</t>
  </si>
  <si>
    <t>Workshop battle loop with clanks, springs, and chaotic goblin energy.</t>
  </si>
  <si>
    <t>bgm_stage_frosty_pantry_loop</t>
  </si>
  <si>
    <t>Frosty battle loop with icy bells and cool sliding texture.</t>
  </si>
  <si>
    <t>bgm_stage_pillow_castle_loop</t>
  </si>
  <si>
    <t>Soft toy-castle battle loop with sleepy bounce and plush percussion.</t>
  </si>
  <si>
    <t>bgm_stage_starfall_arcade_loop</t>
  </si>
  <si>
    <t>Neon arcade battle loop with energetic combo/chiptune feel.</t>
  </si>
  <si>
    <t>bgm_stage_bloxley_block_palace_loop</t>
  </si>
  <si>
    <t>Royal toy-palace battle loop with grand but silly block-king drama.</t>
  </si>
  <si>
    <t>bgm_boss_cupcake_slime_king_loop</t>
  </si>
  <si>
    <t>Boss loop for a giant hungry slime: bouncy, sticky, comedic.</t>
  </si>
  <si>
    <t>bgm_boss_prototype_no_7_loop</t>
  </si>
  <si>
    <t>Mechanical boss loop with malfunctioning confidence and bomb tension.</t>
  </si>
  <si>
    <t>bgm_boss_gelato_golem_loop</t>
  </si>
  <si>
    <t>Icy boss loop with slow heavy melody and melty charm.</t>
  </si>
  <si>
    <t>bgm_boss_sir_snore_a_lot_loop</t>
  </si>
  <si>
    <t>Sleepy knight boss loop that feels heroic and drowsy at once.</t>
  </si>
  <si>
    <t>bgm_boss_high_score_hydra_loop</t>
  </si>
  <si>
    <t>Arcade boss loop with score-chase pressure and combo hype.</t>
  </si>
  <si>
    <t>bgm_boss_king_bloxley_loop</t>
  </si>
  <si>
    <t>Final boss loop: royal, dramatic, funny, and energetic.</t>
  </si>
  <si>
    <t>amb_festival_crowd_loop</t>
  </si>
  <si>
    <t>audio/ambience/</t>
  </si>
  <si>
    <t>Looping cozy festival crowd, distant cheering, soft chatter, no harsh voices.</t>
  </si>
  <si>
    <t>amb_stage_sprinkle_sewers_loop</t>
  </si>
  <si>
    <t>Bubbling candy water, frosting pipe drips, sweet sewer ambience.</t>
  </si>
  <si>
    <t>amb_stage_goblin_workshop_loop</t>
  </si>
  <si>
    <t>Small machine hums, gear clicks, springs, distant safe-looking explosions.</t>
  </si>
  <si>
    <t>amb_stage_frosty_pantry_loop</t>
  </si>
  <si>
    <t>Freezer hum, ice sparkle, soft cold wind loop.</t>
  </si>
  <si>
    <t>amb_stage_pillow_castle_loop</t>
  </si>
  <si>
    <t>Soft fabric rustle, toy squeaks, sleepy castle hush.</t>
  </si>
  <si>
    <t>amb_stage_starfall_arcade_loop</t>
  </si>
  <si>
    <t>Arcade cabinet beeps, ticket machine sounds, neon hum.</t>
  </si>
  <si>
    <t>amb_stage_bloxley_block_palace_loop</t>
  </si>
  <si>
    <t>Toy palace ambience with flags, confetti cannons, distant royal trumpets.</t>
  </si>
  <si>
    <t>amb_shop_small_bells_loop</t>
  </si>
  <si>
    <t>Gentle shop bell and shelf sparkle loop under shop BGM.</t>
  </si>
  <si>
    <t>amb_treasure_sparkle_loop</t>
  </si>
  <si>
    <t>Low magical shimmer for treasure room.</t>
  </si>
  <si>
    <t>sfx_board_piece_spawn</t>
  </si>
  <si>
    <t>audio/sfx/board/</t>
  </si>
  <si>
    <t>Tiny magical plop when a new piece enters the board.</t>
  </si>
  <si>
    <t>sfx_board_piece_move</t>
  </si>
  <si>
    <t>Short soft tick for moving piece left or right.</t>
  </si>
  <si>
    <t>sfx_board_piece_rotate</t>
  </si>
  <si>
    <t>Quick twist/pop sound for rotating a piece.</t>
  </si>
  <si>
    <t>sfx_board_piece_soft_drop</t>
  </si>
  <si>
    <t>Light repeated drop tap for soft drop movement.</t>
  </si>
  <si>
    <t>sfx_board_piece_hard_drop</t>
  </si>
  <si>
    <t>Satisfying thump for instant hard drop.</t>
  </si>
  <si>
    <t>sfx_board_piece_lock</t>
  </si>
  <si>
    <t>Soft lock-in click when a piece lands.</t>
  </si>
  <si>
    <t>sfx_board_hold_piece</t>
  </si>
  <si>
    <t>Magical swap sound for hold action.</t>
  </si>
  <si>
    <t>sfx_board_swap_next_hold</t>
  </si>
  <si>
    <t>Readable queue swap sound for effects that swap Next/Hold.</t>
  </si>
  <si>
    <t>sfx_board_line_clear</t>
  </si>
  <si>
    <t>Bright clear sound for one or small line clear.</t>
  </si>
  <si>
    <t>sfx_board_line_clear_big</t>
  </si>
  <si>
    <t>Bigger sparkling clear sound for multi-line clear.</t>
  </si>
  <si>
    <t>sfx_board_cascade_1</t>
  </si>
  <si>
    <t>First cascade pop, small and satisfying.</t>
  </si>
  <si>
    <t>sfx_board_cascade_2</t>
  </si>
  <si>
    <t>Second cascade sound with rising pitch.</t>
  </si>
  <si>
    <t>sfx_board_cascade_3</t>
  </si>
  <si>
    <t>Third cascade sound with stronger sparkle layer.</t>
  </si>
  <si>
    <t>sfx_board_cascade_mega</t>
  </si>
  <si>
    <t>Large cascade celebration sound for Cascade 4+.</t>
  </si>
  <si>
    <t>sfx_board_combo_tick</t>
  </si>
  <si>
    <t>Small tick that marks combo increase without clutter.</t>
  </si>
  <si>
    <t>sfx_board_fever_ready</t>
  </si>
  <si>
    <t>Excited ready cue when Fever meter is full.</t>
  </si>
  <si>
    <t>sfx_board_fever_start</t>
  </si>
  <si>
    <t>Energetic activation cue for Fever start.</t>
  </si>
  <si>
    <t>sfx_board_fever_end</t>
  </si>
  <si>
    <t>Soft cooldown cue when Fever ends.</t>
  </si>
  <si>
    <t>sfx_board_overflow_warning</t>
  </si>
  <si>
    <t>Urgent but friendly warning before board overflow danger.</t>
  </si>
  <si>
    <t>sfx_board_overflow_defeat</t>
  </si>
  <si>
    <t>Soft pile-collapse sound for overflow defeat, not scary.</t>
  </si>
  <si>
    <t>sfx_block_sprinkle_clear</t>
  </si>
  <si>
    <t>audio/sfx/blocks/</t>
  </si>
  <si>
    <t>Tiny candy sparkle when a Sprinkle Block clears.</t>
  </si>
  <si>
    <t>sfx_block_cupcake_clear</t>
  </si>
  <si>
    <t>Soft frosting pop when a Cupcake Block heals.</t>
  </si>
  <si>
    <t>sfx_block_bomb_explode</t>
  </si>
  <si>
    <t>Cute toy-bomb pop for Bomb Block explosion.</t>
  </si>
  <si>
    <t>sfx_block_star_clear</t>
  </si>
  <si>
    <t>Magical star chime for Star Block clear.</t>
  </si>
  <si>
    <t>sfx_block_jelly_bounce</t>
  </si>
  <si>
    <t>Wobbly jelly bounce sound during cascade/fall.</t>
  </si>
  <si>
    <t>sfx_block_ice_crack</t>
  </si>
  <si>
    <t>Light ice crack for Ice Block break or thaw.</t>
  </si>
  <si>
    <t>sfx_block_sticky_squish</t>
  </si>
  <si>
    <t>Sticky candy squish when Sticky Block moves or clears.</t>
  </si>
  <si>
    <t>sfx_block_crumb_junk_land</t>
  </si>
  <si>
    <t>Crumbly junk landing sound, readable but not harsh.</t>
  </si>
  <si>
    <t>sfx_block_royal_spawn</t>
  </si>
  <si>
    <t>Small royal trumpet pop when a Royal Block appears.</t>
  </si>
  <si>
    <t>sfx_block_royal_clear</t>
  </si>
  <si>
    <t>Regal sparkle when a Royal Block is cleared.</t>
  </si>
  <si>
    <t>sfx_block_confetti_pop</t>
  </si>
  <si>
    <t>Party popper burst for Confetti Block effect.</t>
  </si>
  <si>
    <t>sfx_block_toolbox_charge</t>
  </si>
  <si>
    <t>Tiny tool click/charge when Toolbox Block gives item charge.</t>
  </si>
  <si>
    <t>sfx_block_floaty_rune_warn</t>
  </si>
  <si>
    <t>Wobbly warning sound for floating block countdown.</t>
  </si>
  <si>
    <t>sfx_block_floaty_rune_drop</t>
  </si>
  <si>
    <t>Small whoosh-thump when Floaty Rune drops as junk.</t>
  </si>
  <si>
    <t>sfx_block_cloud_junk_drop</t>
  </si>
  <si>
    <t>Puffy cloud drop into board column.</t>
  </si>
  <si>
    <t>sfx_block_locked_rune_break</t>
  </si>
  <si>
    <t>Lock snap and rune sparkle when Locked Rune breaks.</t>
  </si>
  <si>
    <t>sfx_block_cracked_junk_hit</t>
  </si>
  <si>
    <t>First hit crack sound for Cracked Junk.</t>
  </si>
  <si>
    <t>sfx_block_cracked_junk_break</t>
  </si>
  <si>
    <t>Second hit crumble sound for Cracked Junk breaking.</t>
  </si>
  <si>
    <t>sfx_combat_enemy_hit</t>
  </si>
  <si>
    <t>audio/sfx/combat/</t>
  </si>
  <si>
    <t>Readable cute hit impact for enemy damage.</t>
  </si>
  <si>
    <t>sfx_combat_enemy_defeat</t>
  </si>
  <si>
    <t>Enemy poof/pop defeat sound, playful not violent.</t>
  </si>
  <si>
    <t>sfx_combat_player_hit</t>
  </si>
  <si>
    <t>Soft player hit cue that feels dangerous but lighthearted.</t>
  </si>
  <si>
    <t>sfx_combat_player_heal</t>
  </si>
  <si>
    <t>Warm sparkle for healing.</t>
  </si>
  <si>
    <t>sfx_combat_player_shield_gain</t>
  </si>
  <si>
    <t>Bubble/shield forming sound.</t>
  </si>
  <si>
    <t>sfx_combat_shield_break</t>
  </si>
  <si>
    <t>Tiny bubble crack when shield breaks.</t>
  </si>
  <si>
    <t>sfx_combat_enemy_intent_warning</t>
  </si>
  <si>
    <t>Attention cue when enemy intent becomes dangerous.</t>
  </si>
  <si>
    <t>sfx_combat_enemy_attack_basic</t>
  </si>
  <si>
    <t>Simple enemy attack pop/bonk.</t>
  </si>
  <si>
    <t>sfx_combat_enemy_attack_junk</t>
  </si>
  <si>
    <t>Crumb junk preparation/drop cue.</t>
  </si>
  <si>
    <t>sfx_combat_enemy_attack_freeze</t>
  </si>
  <si>
    <t>Frost wave cue for freeze enemy attack.</t>
  </si>
  <si>
    <t>sfx_combat_enemy_attack_sleep</t>
  </si>
  <si>
    <t>Yawn/sleep sparkle cue for Sleepy attacks.</t>
  </si>
  <si>
    <t>sfx_combat_enemy_attack_royal</t>
  </si>
  <si>
    <t>Royal command cue for Bloxley pattern attacks.</t>
  </si>
  <si>
    <t>sfx_combat_boss_intro</t>
  </si>
  <si>
    <t>Short boss arrival sting with stage personality.</t>
  </si>
  <si>
    <t>sfx_combat_boss_phase_change</t>
  </si>
  <si>
    <t>Noticeable but brief boss phase change cue.</t>
  </si>
  <si>
    <t>sfx_combat_boss_defeat</t>
  </si>
  <si>
    <t>Big boss poof with celebration sparkle.</t>
  </si>
  <si>
    <t>sfx_combat_victory</t>
  </si>
  <si>
    <t>Victory confirmation cue after combat ends.</t>
  </si>
  <si>
    <t>sfx_combat_defeat</t>
  </si>
  <si>
    <t>Gentle defeat cue for Game Over transition.</t>
  </si>
  <si>
    <t>sfx_spl_fireball_cast</t>
  </si>
  <si>
    <t>audio/sfx/spells/</t>
  </si>
  <si>
    <t>Cast sound for Fireball. Fire damage; should feel like Pippa preheating the enemy.</t>
  </si>
  <si>
    <t>sfx_spl_frost_lock_cast</t>
  </si>
  <si>
    <t>Cast sound for Frost Lock. Control spell; chills fall speed or freezes enemy timing.</t>
  </si>
  <si>
    <t>sfx_spl_bomb_rune_cast</t>
  </si>
  <si>
    <t>Cast sound for Bomb Rune. Board-clear spell; creates a toy bomb area clear.</t>
  </si>
  <si>
    <t>sfx_spl_clean_cut_cast</t>
  </si>
  <si>
    <t>Cast sound for Clean Cut. Precise cleanup spell that clears a row or messy pattern.</t>
  </si>
  <si>
    <t>sfx_spl_sprinkle_shower_cast</t>
  </si>
  <si>
    <t>Cast sound for Sprinkle Shower. Candy mana spell that rains helpful sprinkles.</t>
  </si>
  <si>
    <t>sfx_spl_cupcake_blast_cast</t>
  </si>
  <si>
    <t>Cast sound for Cupcake Blast. Sweet damage/heal spell with frosting burst.</t>
  </si>
  <si>
    <t>sfx_spl_confetti_pop_cast</t>
  </si>
  <si>
    <t>Cast sound for Confetti Pop. Party spell that clears random cells with colorful chaos.</t>
  </si>
  <si>
    <t>sfx_spl_bubble_shield_cast</t>
  </si>
  <si>
    <t>Cast sound for Bubble Shield. Defensive spell that creates a soft protective bubble.</t>
  </si>
  <si>
    <t>sfx_spl_star_spark_cast</t>
  </si>
  <si>
    <t>Cast sound for Star Spark. Combo-scaling star spell for cascade play.</t>
  </si>
  <si>
    <t>sfx_spl_jelly_bounce_cast</t>
  </si>
  <si>
    <t>Cast sound for Jelly Bounce. Utility spell that delays enemy or bounces board pressure.</t>
  </si>
  <si>
    <t>sfx_spl_snowcone_burst_cast</t>
  </si>
  <si>
    <t>Cast sound for Snowcone Burst. Frost burst that delays or freezes enemy action.</t>
  </si>
  <si>
    <t>sfx_spl_goblin_gadget_cast</t>
  </si>
  <si>
    <t>Cast sound for Goblin Gadget. Random helpful gadget effect with comic uncertainty.</t>
  </si>
  <si>
    <t>sfx_spl_rainbow_reroll_cast</t>
  </si>
  <si>
    <t>Cast sound for Rainbow Reroll. Queue utility spell that rerolls piece/preview state.</t>
  </si>
  <si>
    <t>sfx_spl_snack_break_cast</t>
  </si>
  <si>
    <t>Cast sound for Snack Break. Healing spell with cozy snack-time effect.</t>
  </si>
  <si>
    <t>sfx_spl_cascade_cheer_cast</t>
  </si>
  <si>
    <t>Cast sound for Cascade Cheer. Combo support spell that boosts next cascade reward.</t>
  </si>
  <si>
    <t>sfx_ui_button_tap</t>
  </si>
  <si>
    <t>audio/sfx/ui/</t>
  </si>
  <si>
    <t>Light tap for common button press.</t>
  </si>
  <si>
    <t>sfx_ui_button_confirm</t>
  </si>
  <si>
    <t>Positive confirmation cue for accepted action.</t>
  </si>
  <si>
    <t>sfx_ui_button_cancel</t>
  </si>
  <si>
    <t>Soft back/cancel cue.</t>
  </si>
  <si>
    <t>sfx_ui_button_disabled</t>
  </si>
  <si>
    <t>Cute blocked cue for invalid/disabled action.</t>
  </si>
  <si>
    <t>sfx_ui_menu_open</t>
  </si>
  <si>
    <t>Panel opening sound with magical slide.</t>
  </si>
  <si>
    <t>sfx_ui_menu_close</t>
  </si>
  <si>
    <t>Panel closing sound with soft click.</t>
  </si>
  <si>
    <t>sfx_ui_card_flip</t>
  </si>
  <si>
    <t>Reward/card reveal flip sound.</t>
  </si>
  <si>
    <t>sfx_ui_reward_pick</t>
  </si>
  <si>
    <t>Sparkly cue for choosing a reward.</t>
  </si>
  <si>
    <t>sfx_ui_shop_purchase</t>
  </si>
  <si>
    <t>Cash/register bell for successful purchase.</t>
  </si>
  <si>
    <t>sfx_ui_shop_error</t>
  </si>
  <si>
    <t>Friendly error cue for not enough gold.</t>
  </si>
  <si>
    <t>sfx_ui_inventory_open</t>
  </si>
  <si>
    <t>Bag/pouch opening sound for inventory panel.</t>
  </si>
  <si>
    <t>sfx_ui_inventory_close</t>
  </si>
  <si>
    <t>Bag/pouch close sound.</t>
  </si>
  <si>
    <t>sfx_ui_item_use</t>
  </si>
  <si>
    <t>General item-use sparkle/pop.</t>
  </si>
  <si>
    <t>sfx_ui_save_success</t>
  </si>
  <si>
    <t>Small safe confirmation for save success.</t>
  </si>
  <si>
    <t>sfx_ui_load_success</t>
  </si>
  <si>
    <t>Small safe confirmation for continue/load success.</t>
  </si>
  <si>
    <t>sfx_ui_dialogue_blip</t>
  </si>
  <si>
    <t>Short dialogue text blip, not annoying when repeated.</t>
  </si>
  <si>
    <t>sfx_ui_dialogue_skip</t>
  </si>
  <si>
    <t>Tiny page-skip cue for skipped dialogue.</t>
  </si>
  <si>
    <t>sfx_ui_map_node_select</t>
  </si>
  <si>
    <t>Map node selection tick with adventure feel.</t>
  </si>
  <si>
    <t>sfx_ui_map_path_unlock</t>
  </si>
  <si>
    <t>Map route unlock sparkle/path draw cue.</t>
  </si>
  <si>
    <t>bg_scene_title_festival</t>
  </si>
  <si>
    <t>backgrounds/scenes/</t>
  </si>
  <si>
    <t>Title screen image showing Brixonia festival, falling stars, and playful blocks.</t>
  </si>
  <si>
    <t>bg_scene_main_menu</t>
  </si>
  <si>
    <t>Main menu scene with cozy arcade-festival framing.</t>
  </si>
  <si>
    <t>bg_scene_hub_brixonia</t>
  </si>
  <si>
    <t>Festival hub overview with booths, lanterns, and colorful magical mess.</t>
  </si>
  <si>
    <t>bg_scene_hero_select</t>
  </si>
  <si>
    <t>Hero select backdrop with stage or festival booth silhouettes.</t>
  </si>
  <si>
    <t>bg_scene_tutorial</t>
  </si>
  <si>
    <t>Simple classroom/festival demo area for learning controls.</t>
  </si>
  <si>
    <t>bg_scene_reward</t>
  </si>
  <si>
    <t>Reward backdrop with sparkles, cards, and treasure glow.</t>
  </si>
  <si>
    <t>bg_scene_shop</t>
  </si>
  <si>
    <t>Marnie’s cozy merchant stall filled with snacks and items.</t>
  </si>
  <si>
    <t>bg_scene_event</t>
  </si>
  <si>
    <t>Generic event backdrop with flexible festival/dungeon props.</t>
  </si>
  <si>
    <t>bg_scene_rest</t>
  </si>
  <si>
    <t>Safe rest spot with pillows, snacks, and warm lanterns.</t>
  </si>
  <si>
    <t>bg_scene_treasure</t>
  </si>
  <si>
    <t>Treasure room with glowing chest and playful sparkles.</t>
  </si>
  <si>
    <t>bg_scene_game_over</t>
  </si>
  <si>
    <t>Soft defeat backdrop with block pile and encouraging restart tone.</t>
  </si>
  <si>
    <t>bg_scene_victory</t>
  </si>
  <si>
    <t>Victory backdrop with restored festival energy and confetti.</t>
  </si>
  <si>
    <t>bg_scene_ending_normal</t>
  </si>
  <si>
    <t>Normal ending scene: festival saved, fountain still jelly.</t>
  </si>
  <si>
    <t>bg_scene_ending_true</t>
  </si>
  <si>
    <t>True ending scene: Block-O-Matic becomes Festival Game Master.</t>
  </si>
  <si>
    <t>bg_scene_settings</t>
  </si>
  <si>
    <t>Simple readable settings backdrop with cozy UI frame.</t>
  </si>
  <si>
    <t>bg_stage_sprinkle_sewers_battle_far</t>
  </si>
  <si>
    <t>backgrounds/stages/</t>
  </si>
  <si>
    <t>Sprinkle Sewers battle background distant parallax layer; show candy sewer with rainbow water, frosting pipes, and cupcake slime colors.</t>
  </si>
  <si>
    <t>bg_stage_sprinkle_sewers_battle_mid</t>
  </si>
  <si>
    <t>Sprinkle Sewers battle background main scenic layer; show candy sewer with rainbow water, frosting pipes, and cupcake slime colors.</t>
  </si>
  <si>
    <t>bg_stage_sprinkle_sewers_battle_near</t>
  </si>
  <si>
    <t>Sprinkle Sewers battle background foreground framing layer; show candy sewer with rainbow water, frosting pipes, and cupcake slime colors.</t>
  </si>
  <si>
    <t>bg_stage_goblin_workshop_battle_far</t>
  </si>
  <si>
    <t>Goblin Workshop battle background distant parallax layer; show goblin machinery, toy bombs, springs, gears, and warning signs.</t>
  </si>
  <si>
    <t>bg_stage_goblin_workshop_battle_mid</t>
  </si>
  <si>
    <t>Goblin Workshop battle background main scenic layer; show goblin machinery, toy bombs, springs, gears, and warning signs.</t>
  </si>
  <si>
    <t>bg_stage_goblin_workshop_battle_near</t>
  </si>
  <si>
    <t>Goblin Workshop battle background foreground framing layer; show goblin machinery, toy bombs, springs, gears, and warning signs.</t>
  </si>
  <si>
    <t>bg_stage_frosty_pantry_battle_far</t>
  </si>
  <si>
    <t>Frosty Pantry battle background distant parallax layer; show magical freezer with ice cream crates, cold mist, and slippery tiles.</t>
  </si>
  <si>
    <t>bg_stage_frosty_pantry_battle_mid</t>
  </si>
  <si>
    <t>Frosty Pantry battle background main scenic layer; show magical freezer with ice cream crates, cold mist, and slippery tiles.</t>
  </si>
  <si>
    <t>bg_stage_frosty_pantry_battle_near</t>
  </si>
  <si>
    <t>Frosty Pantry battle background foreground framing layer; show magical freezer with ice cream crates, cold mist, and slippery tiles.</t>
  </si>
  <si>
    <t>bg_stage_pillow_castle_battle_far</t>
  </si>
  <si>
    <t>Pillow Castle battle background distant parallax layer; show soft pillow fortress with plush toys, blankets, and sleepy fabric shapes.</t>
  </si>
  <si>
    <t>bg_stage_pillow_castle_battle_mid</t>
  </si>
  <si>
    <t>Pillow Castle battle background main scenic layer; show soft pillow fortress with plush toys, blankets, and sleepy fabric shapes.</t>
  </si>
  <si>
    <t>bg_stage_pillow_castle_battle_near</t>
  </si>
  <si>
    <t>Pillow Castle battle background foreground framing layer; show soft pillow fortress with plush toys, blankets, and sleepy fabric shapes.</t>
  </si>
  <si>
    <t>bg_stage_starfall_arcade_battle_far</t>
  </si>
  <si>
    <t>Starfall Arcade battle background distant parallax layer; show neon arcade with prize counters, combo signs, and glowing cabinets.</t>
  </si>
  <si>
    <t>bg_stage_starfall_arcade_battle_mid</t>
  </si>
  <si>
    <t>Starfall Arcade battle background main scenic layer; show neon arcade with prize counters, combo signs, and glowing cabinets.</t>
  </si>
  <si>
    <t>bg_stage_starfall_arcade_battle_near</t>
  </si>
  <si>
    <t>Starfall Arcade battle background foreground framing layer; show neon arcade with prize counters, combo signs, and glowing cabinets.</t>
  </si>
  <si>
    <t>bg_stage_bloxley_block_palace_battle_far</t>
  </si>
  <si>
    <t>Bloxley’s Block Palace battle background distant parallax layer; show royal block palace with square banners, confetti cannons, and toy flags.</t>
  </si>
  <si>
    <t>bg_stage_bloxley_block_palace_battle_mid</t>
  </si>
  <si>
    <t>Bloxley’s Block Palace battle background main scenic layer; show royal block palace with square banners, confetti cannons, and toy flags.</t>
  </si>
  <si>
    <t>bg_stage_bloxley_block_palace_battle_near</t>
  </si>
  <si>
    <t>Bloxley’s Block Palace battle background foreground framing layer; show royal block palace with square banners, confetti cannons, and toy flags.</t>
  </si>
  <si>
    <t>bg_boss_cupcake_slime_king_arena</t>
  </si>
  <si>
    <t>Boss-specific arena for Cupcake Slime King: sticky candy sewer boss arena with frosting puddles and giant cupcake slime throne.</t>
  </si>
  <si>
    <t>bg_boss_prototype_no_7_arena</t>
  </si>
  <si>
    <t>Boss-specific arena for Prototype No. 7: malfunctioning workshop arena with safe-looking machines and bomb props.</t>
  </si>
  <si>
    <t>bg_boss_gelato_golem_arena</t>
  </si>
  <si>
    <t>Boss-specific arena for Gelato Golem: freezer boss arena with melting rainbow gelato and ice platforms.</t>
  </si>
  <si>
    <t>bg_boss_sir_snore_a_lot_arena</t>
  </si>
  <si>
    <t>Boss-specific arena for Sir Snore-a-Lot: pillow castle boss arena with blanket banners and sleepy toy shields.</t>
  </si>
  <si>
    <t>bg_boss_high_score_hydra_arena</t>
  </si>
  <si>
    <t>Boss-specific arena for High Score Hydra: arcade boss arena with scoreboard, neon combo lights, and hydra cabinet energy.</t>
  </si>
  <si>
    <t>bg_boss_king_bloxley_arena</t>
  </si>
  <si>
    <t>Boss-specific arena for King Bloxley: final royal block throne room with symmetry marks and confetti cannons.</t>
  </si>
  <si>
    <t>bg_map_sprinkle_sewers</t>
  </si>
  <si>
    <t>backgrounds/maps/</t>
  </si>
  <si>
    <t>Roguelike map background for Sprinkle Sewers; use icons/paths over this readable stage map.</t>
  </si>
  <si>
    <t>bg_map_goblin_workshop</t>
  </si>
  <si>
    <t>Roguelike map background for Goblin Workshop; use icons/paths over this readable stage map.</t>
  </si>
  <si>
    <t>bg_map_frosty_pantry</t>
  </si>
  <si>
    <t>Roguelike map background for Frosty Pantry; use icons/paths over this readable stage map.</t>
  </si>
  <si>
    <t>bg_map_pillow_castle</t>
  </si>
  <si>
    <t>Roguelike map background for Pillow Castle; use icons/paths over this readable stage map.</t>
  </si>
  <si>
    <t>bg_map_starfall_arcade</t>
  </si>
  <si>
    <t>Roguelike map background for Starfall Arcade; use icons/paths over this readable stage map.</t>
  </si>
  <si>
    <t>bg_map_bloxley_block_palace</t>
  </si>
  <si>
    <t>Roguelike map background for Bloxley’s Block Palace; use icons/paths over this readable stage map.</t>
  </si>
  <si>
    <t>map_node_start_locked</t>
  </si>
  <si>
    <t>map/nodes/</t>
  </si>
  <si>
    <t>Start node, safe and friendly entry point. Unavailable gray/low-saturation state. Must be readable at mobile size.</t>
  </si>
  <si>
    <t>map_node_start_available</t>
  </si>
  <si>
    <t>Start node, safe and friendly entry point. Selectable glowing state. Must be readable at mobile size.</t>
  </si>
  <si>
    <t>map_node_start_current</t>
  </si>
  <si>
    <t>Start node, safe and friendly entry point. Current player position state. Must be readable at mobile size.</t>
  </si>
  <si>
    <t>map_node_start_completed</t>
  </si>
  <si>
    <t>Start node, safe and friendly entry point. Completed checked/cleared state. Must be readable at mobile size.</t>
  </si>
  <si>
    <t>map_node_normal_locked</t>
  </si>
  <si>
    <t>Normal battle node with small monster symbol. Unavailable gray/low-saturation state. Must be readable at mobile size.</t>
  </si>
  <si>
    <t>map_node_normal_available</t>
  </si>
  <si>
    <t>Normal battle node with small monster symbol. Selectable glowing state. Must be readable at mobile size.</t>
  </si>
  <si>
    <t>map_node_normal_current</t>
  </si>
  <si>
    <t>Normal battle node with small monster symbol. Current player position state. Must be readable at mobile size.</t>
  </si>
  <si>
    <t>map_node_normal_completed</t>
  </si>
  <si>
    <t>Normal battle node with small monster symbol. Completed checked/cleared state. Must be readable at mobile size.</t>
  </si>
  <si>
    <t>map_node_elite_locked</t>
  </si>
  <si>
    <t>Elite battle node with stronger warning frame. Unavailable gray/low-saturation state. Must be readable at mobile size.</t>
  </si>
  <si>
    <t>map_node_elite_available</t>
  </si>
  <si>
    <t>Elite battle node with stronger warning frame. Selectable glowing state. Must be readable at mobile size.</t>
  </si>
  <si>
    <t>map_node_elite_current</t>
  </si>
  <si>
    <t>Elite battle node with stronger warning frame. Current player position state. Must be readable at mobile size.</t>
  </si>
  <si>
    <t>map_node_elite_completed</t>
  </si>
  <si>
    <t>Elite battle node with stronger warning frame. Completed checked/cleared state. Must be readable at mobile size.</t>
  </si>
  <si>
    <t>map_node_event_locked</t>
  </si>
  <si>
    <t>Random event node with question mark/festival icon. Unavailable gray/low-saturation state. Must be readable at mobile size.</t>
  </si>
  <si>
    <t>map_node_event_available</t>
  </si>
  <si>
    <t>Random event node with question mark/festival icon. Selectable glowing state. Must be readable at mobile size.</t>
  </si>
  <si>
    <t>map_node_event_current</t>
  </si>
  <si>
    <t>Random event node with question mark/festival icon. Current player position state. Must be readable at mobile size.</t>
  </si>
  <si>
    <t>map_node_event_completed</t>
  </si>
  <si>
    <t>Random event node with question mark/festival icon. Completed checked/cleared state. Must be readable at mobile size.</t>
  </si>
  <si>
    <t>map_node_shop_locked</t>
  </si>
  <si>
    <t>Shop node with merchant stall/bag icon. Unavailable gray/low-saturation state. Must be readable at mobile size.</t>
  </si>
  <si>
    <t>map_node_shop_available</t>
  </si>
  <si>
    <t>Shop node with merchant stall/bag icon. Selectable glowing state. Must be readable at mobile size.</t>
  </si>
  <si>
    <t>map_node_shop_current</t>
  </si>
  <si>
    <t>Shop node with merchant stall/bag icon. Current player position state. Must be readable at mobile size.</t>
  </si>
  <si>
    <t>map_node_shop_completed</t>
  </si>
  <si>
    <t>Shop node with merchant stall/bag icon. Completed checked/cleared state. Must be readable at mobile size.</t>
  </si>
  <si>
    <t>map_node_rest_locked</t>
  </si>
  <si>
    <t>Rest node with pillow/snack icon. Unavailable gray/low-saturation state. Must be readable at mobile size.</t>
  </si>
  <si>
    <t>map_node_rest_available</t>
  </si>
  <si>
    <t>Rest node with pillow/snack icon. Selectable glowing state. Must be readable at mobile size.</t>
  </si>
  <si>
    <t>map_node_rest_current</t>
  </si>
  <si>
    <t>Rest node with pillow/snack icon. Current player position state. Must be readable at mobile size.</t>
  </si>
  <si>
    <t>map_node_rest_completed</t>
  </si>
  <si>
    <t>Rest node with pillow/snack icon. Completed checked/cleared state. Must be readable at mobile size.</t>
  </si>
  <si>
    <t>map_node_treasure_locked</t>
  </si>
  <si>
    <t>Treasure node with chest/sparkle icon. Unavailable gray/low-saturation state. Must be readable at mobile size.</t>
  </si>
  <si>
    <t>map_node_treasure_available</t>
  </si>
  <si>
    <t>Treasure node with chest/sparkle icon. Selectable glowing state. Must be readable at mobile size.</t>
  </si>
  <si>
    <t>map_node_treasure_current</t>
  </si>
  <si>
    <t>Treasure node with chest/sparkle icon. Current player position state. Must be readable at mobile size.</t>
  </si>
  <si>
    <t>map_node_treasure_completed</t>
  </si>
  <si>
    <t>Treasure node with chest/sparkle icon. Completed checked/cleared state. Must be readable at mobile size.</t>
  </si>
  <si>
    <t>map_node_boss_locked</t>
  </si>
  <si>
    <t>Boss node with large stage boss badge. Unavailable gray/low-saturation state. Must be readable at mobile size.</t>
  </si>
  <si>
    <t>map_node_boss_available</t>
  </si>
  <si>
    <t>Boss node with large stage boss badge. Selectable glowing state. Must be readable at mobile size.</t>
  </si>
  <si>
    <t>map_node_boss_current</t>
  </si>
  <si>
    <t>Boss node with large stage boss badge. Current player position state. Must be readable at mobile size.</t>
  </si>
  <si>
    <t>map_node_boss_completed</t>
  </si>
  <si>
    <t>Boss node with large stage boss badge. Completed checked/cleared state. Must be readable at mobile size.</t>
  </si>
  <si>
    <t>map_node_final_boss_locked</t>
  </si>
  <si>
    <t>Final boss node with royal crown/block icon. Unavailable gray/low-saturation state. Must be readable at mobile size.</t>
  </si>
  <si>
    <t>map_node_final_boss_available</t>
  </si>
  <si>
    <t>Final boss node with royal crown/block icon. Selectable glowing state. Must be readable at mobile size.</t>
  </si>
  <si>
    <t>map_node_final_boss_current</t>
  </si>
  <si>
    <t>Final boss node with royal crown/block icon. Current player position state. Must be readable at mobile size.</t>
  </si>
  <si>
    <t>map_node_final_boss_completed</t>
  </si>
  <si>
    <t>Final boss node with royal crown/block icon. Completed checked/cleared state. Must be readable at mobile size.</t>
  </si>
  <si>
    <t>map_node_mini_boss_locked</t>
  </si>
  <si>
    <t>Mini-boss or royal guard node before final boss. Unavailable gray/low-saturation state. Must be readable at mobile size.</t>
  </si>
  <si>
    <t>map_node_mini_boss_available</t>
  </si>
  <si>
    <t>Mini-boss or royal guard node before final boss. Selectable glowing state. Must be readable at mobile size.</t>
  </si>
  <si>
    <t>map_node_mini_boss_current</t>
  </si>
  <si>
    <t>Mini-boss or royal guard node before final boss. Current player position state. Must be readable at mobile size.</t>
  </si>
  <si>
    <t>map_node_mini_boss_completed</t>
  </si>
  <si>
    <t>Mini-boss or royal guard node before final boss. Completed checked/cleared state. Must be readable at mobile size.</t>
  </si>
  <si>
    <t>map_path_line_locked</t>
  </si>
  <si>
    <t>map/paths/</t>
  </si>
  <si>
    <t>Thin muted line showing locked route connection.</t>
  </si>
  <si>
    <t>map_path_line_available</t>
  </si>
  <si>
    <t>Clear readable line showing selectable route connection.</t>
  </si>
  <si>
    <t>map_path_line_completed</t>
  </si>
  <si>
    <t>Route line showing already traveled path.</t>
  </si>
  <si>
    <t>map_path_dotted_locked</t>
  </si>
  <si>
    <t>Optional dotted locked route style for alternate branches.</t>
  </si>
  <si>
    <t>map_path_glow_available</t>
  </si>
  <si>
    <t>Glowing route overlay for newly opened path.</t>
  </si>
  <si>
    <t>map_deco_sprinkle_sewers_cupcake_pipe</t>
  </si>
  <si>
    <t>map/decorations/</t>
  </si>
  <si>
    <t>Small cupcake/frosting pipe decoration for Stage 1 map.</t>
  </si>
  <si>
    <t>map_deco_goblin_workshop_gear</t>
  </si>
  <si>
    <t>Small gear/spring decoration for Stage 2 map.</t>
  </si>
  <si>
    <t>map_deco_frosty_pantry_ice_crate</t>
  </si>
  <si>
    <t>Ice cream crate decoration for Stage 3 map.</t>
  </si>
  <si>
    <t>map_deco_pillow_castle_blanket_flag</t>
  </si>
  <si>
    <t>Blanket flag decoration for Stage 4 map.</t>
  </si>
  <si>
    <t>map_deco_starfall_arcade_neon_sign</t>
  </si>
  <si>
    <t>Neon sign decoration for Stage 5 map.</t>
  </si>
  <si>
    <t>map_deco_bloxley_block_palace_royal_seal</t>
  </si>
  <si>
    <t>Royal seal decoration for Stage 6 map.</t>
  </si>
  <si>
    <t>spr_hero_milo_blockmancer_idle</t>
  </si>
  <si>
    <t>sprites/heroes/</t>
  </si>
  <si>
    <t>Milo: Neutral battle idle; loopable and readable in top battle panel. Character direction: balanced starter Blockmancer, optimistic apprentice with lemonade-assistant charm.</t>
  </si>
  <si>
    <t>spr_hero_milo_blockmancer_cast</t>
  </si>
  <si>
    <t>Milo: Spell-casting pose with clear silhouette and hand/wand motion. Character direction: balanced starter Blockmancer, optimistic apprentice with lemonade-assistant charm.</t>
  </si>
  <si>
    <t>spr_hero_milo_blockmancer_attack</t>
  </si>
  <si>
    <t>Milo: Quick attack pose for line-clear damage feedback. Character direction: balanced starter Blockmancer, optimistic apprentice with lemonade-assistant charm.</t>
  </si>
  <si>
    <t>spr_hero_milo_blockmancer_hit</t>
  </si>
  <si>
    <t>Milo: Short hurt/flinch pose, cute but readable. Character direction: balanced starter Blockmancer, optimistic apprentice with lemonade-assistant charm.</t>
  </si>
  <si>
    <t>spr_hero_milo_blockmancer_victory</t>
  </si>
  <si>
    <t>Milo: Celebration pose for room clear and hero select preview. Character direction: balanced starter Blockmancer, optimistic apprentice with lemonade-assistant charm.</t>
  </si>
  <si>
    <t>spr_hero_milo_blockmancer_defeat</t>
  </si>
  <si>
    <t>Milo: Soft defeat/tired pose without grim tone. Character direction: balanced starter Blockmancer, optimistic apprentice with lemonade-assistant charm.</t>
  </si>
  <si>
    <t>spr_hero_milo_blockmancer_portrait</t>
  </si>
  <si>
    <t>Milo: Large dialogue/hero-select portrait with expressive face. Character direction: balanced starter Blockmancer, optimistic apprentice with lemonade-assistant charm.</t>
  </si>
  <si>
    <t>spr_hero_milo_blockmancer_silhouette_locked</t>
  </si>
  <si>
    <t>Milo: Locked hero silhouette; recognizable but not fully revealed. Character direction: balanced starter Blockmancer, optimistic apprentice with lemonade-assistant charm.</t>
  </si>
  <si>
    <t>ico_hero_milo_blockmancer</t>
  </si>
  <si>
    <t>icons/heroes/</t>
  </si>
  <si>
    <t>Milo small icon for hero select, save slot, HUD, and unlock UI.</t>
  </si>
  <si>
    <t>spr_hero_pippa_pyromancer_idle</t>
  </si>
  <si>
    <t>Pippa: Neutral battle idle; loopable and readable in top battle panel. Character direction: festival baker pyromancer, energetic and cupcake-protective.</t>
  </si>
  <si>
    <t>spr_hero_pippa_pyromancer_cast</t>
  </si>
  <si>
    <t>Pippa: Spell-casting pose with clear silhouette and hand/wand motion. Character direction: festival baker pyromancer, energetic and cupcake-protective.</t>
  </si>
  <si>
    <t>spr_hero_pippa_pyromancer_attack</t>
  </si>
  <si>
    <t>Pippa: Quick attack pose for line-clear damage feedback. Character direction: festival baker pyromancer, energetic and cupcake-protective.</t>
  </si>
  <si>
    <t>spr_hero_pippa_pyromancer_hit</t>
  </si>
  <si>
    <t>Pippa: Short hurt/flinch pose, cute but readable. Character direction: festival baker pyromancer, energetic and cupcake-protective.</t>
  </si>
  <si>
    <t>spr_hero_pippa_pyromancer_victory</t>
  </si>
  <si>
    <t>Pippa: Celebration pose for room clear and hero select preview. Character direction: festival baker pyromancer, energetic and cupcake-protective.</t>
  </si>
  <si>
    <t>spr_hero_pippa_pyromancer_defeat</t>
  </si>
  <si>
    <t>Pippa: Soft defeat/tired pose without grim tone. Character direction: festival baker pyromancer, energetic and cupcake-protective.</t>
  </si>
  <si>
    <t>spr_hero_pippa_pyromancer_portrait</t>
  </si>
  <si>
    <t>Pippa: Large dialogue/hero-select portrait with expressive face. Character direction: festival baker pyromancer, energetic and cupcake-protective.</t>
  </si>
  <si>
    <t>spr_hero_pippa_pyromancer_silhouette_locked</t>
  </si>
  <si>
    <t>Pippa: Locked hero silhouette; recognizable but not fully revealed. Character direction: festival baker pyromancer, energetic and cupcake-protective.</t>
  </si>
  <si>
    <t>ico_hero_pippa_pyromancer</t>
  </si>
  <si>
    <t>Pippa small icon for hero select, save slot, HUD, and unlock UI.</t>
  </si>
  <si>
    <t>spr_hero_nixie_frostbinder_idle</t>
  </si>
  <si>
    <t>Nixie: Neutral battle idle; loopable and readable in top battle panel. Character direction: cool ice cream cart mage, calm and frosty.</t>
  </si>
  <si>
    <t>spr_hero_nixie_frostbinder_cast</t>
  </si>
  <si>
    <t>Nixie: Spell-casting pose with clear silhouette and hand/wand motion. Character direction: cool ice cream cart mage, calm and frosty.</t>
  </si>
  <si>
    <t>spr_hero_nixie_frostbinder_attack</t>
  </si>
  <si>
    <t>Nixie: Quick attack pose for line-clear damage feedback. Character direction: cool ice cream cart mage, calm and frosty.</t>
  </si>
  <si>
    <t>spr_hero_nixie_frostbinder_hit</t>
  </si>
  <si>
    <t>Nixie: Short hurt/flinch pose, cute but readable. Character direction: cool ice cream cart mage, calm and frosty.</t>
  </si>
  <si>
    <t>spr_hero_nixie_frostbinder_victory</t>
  </si>
  <si>
    <t>Nixie: Celebration pose for room clear and hero select preview. Character direction: cool ice cream cart mage, calm and frosty.</t>
  </si>
  <si>
    <t>spr_hero_nixie_frostbinder_defeat</t>
  </si>
  <si>
    <t>Nixie: Soft defeat/tired pose without grim tone. Character direction: cool ice cream cart mage, calm and frosty.</t>
  </si>
  <si>
    <t>spr_hero_nixie_frostbinder_portrait</t>
  </si>
  <si>
    <t>Nixie: Large dialogue/hero-select portrait with expressive face. Character direction: cool ice cream cart mage, calm and frosty.</t>
  </si>
  <si>
    <t>spr_hero_nixie_frostbinder_silhouette_locked</t>
  </si>
  <si>
    <t>Nixie: Locked hero silhouette; recognizable but not fully revealed. Character direction: cool ice cream cart mage, calm and frosty.</t>
  </si>
  <si>
    <t>ico_hero_nixie_frostbinder</t>
  </si>
  <si>
    <t>Nixie small icon for hero select, save slot, HUD, and unlock UI.</t>
  </si>
  <si>
    <t>spr_hero_bruk_snack_knight_idle</t>
  </si>
  <si>
    <t>Bruk: Neutral battle idle; loopable and readable in top battle panel. Character direction: crumb-covered snack knight, sturdy and loyal.</t>
  </si>
  <si>
    <t>spr_hero_bruk_snack_knight_cast</t>
  </si>
  <si>
    <t>Bruk: Spell-casting pose with clear silhouette and hand/wand motion. Character direction: crumb-covered snack knight, sturdy and loyal.</t>
  </si>
  <si>
    <t>spr_hero_bruk_snack_knight_attack</t>
  </si>
  <si>
    <t>Bruk: Quick attack pose for line-clear damage feedback. Character direction: crumb-covered snack knight, sturdy and loyal.</t>
  </si>
  <si>
    <t>spr_hero_bruk_snack_knight_hit</t>
  </si>
  <si>
    <t>Bruk: Short hurt/flinch pose, cute but readable. Character direction: crumb-covered snack knight, sturdy and loyal.</t>
  </si>
  <si>
    <t>spr_hero_bruk_snack_knight_victory</t>
  </si>
  <si>
    <t>Bruk: Celebration pose for room clear and hero select preview. Character direction: crumb-covered snack knight, sturdy and loyal.</t>
  </si>
  <si>
    <t>spr_hero_bruk_snack_knight_defeat</t>
  </si>
  <si>
    <t>Bruk: Soft defeat/tired pose without grim tone. Character direction: crumb-covered snack knight, sturdy and loyal.</t>
  </si>
  <si>
    <t>spr_hero_bruk_snack_knight_portrait</t>
  </si>
  <si>
    <t>Bruk: Large dialogue/hero-select portrait with expressive face. Character direction: crumb-covered snack knight, sturdy and loyal.</t>
  </si>
  <si>
    <t>spr_hero_bruk_snack_knight_silhouette_locked</t>
  </si>
  <si>
    <t>Bruk: Locked hero silhouette; recognizable but not fully revealed. Character direction: crumb-covered snack knight, sturdy and loyal.</t>
  </si>
  <si>
    <t>ico_hero_bruk_snack_knight</t>
  </si>
  <si>
    <t>Bruk small icon for hero select, save slot, HUD, and unlock UI.</t>
  </si>
  <si>
    <t>spr_hero_zuzu_goblin_engineer_idle</t>
  </si>
  <si>
    <t>Zuzu: Neutral battle idle; loopable and readable in top battle panel. Character direction: fast-talking goblin engineer with risky gadget confidence.</t>
  </si>
  <si>
    <t>spr_hero_zuzu_goblin_engineer_cast</t>
  </si>
  <si>
    <t>Zuzu: Spell-casting pose with clear silhouette and hand/wand motion. Character direction: fast-talking goblin engineer with risky gadget confidence.</t>
  </si>
  <si>
    <t>spr_hero_zuzu_goblin_engineer_attack</t>
  </si>
  <si>
    <t>Zuzu: Quick attack pose for line-clear damage feedback. Character direction: fast-talking goblin engineer with risky gadget confidence.</t>
  </si>
  <si>
    <t>spr_hero_zuzu_goblin_engineer_hit</t>
  </si>
  <si>
    <t>Zuzu: Short hurt/flinch pose, cute but readable. Character direction: fast-talking goblin engineer with risky gadget confidence.</t>
  </si>
  <si>
    <t>spr_hero_zuzu_goblin_engineer_victory</t>
  </si>
  <si>
    <t>Zuzu: Celebration pose for room clear and hero select preview. Character direction: fast-talking goblin engineer with risky gadget confidence.</t>
  </si>
  <si>
    <t>spr_hero_zuzu_goblin_engineer_defeat</t>
  </si>
  <si>
    <t>Zuzu: Soft defeat/tired pose without grim tone. Character direction: fast-talking goblin engineer with risky gadget confidence.</t>
  </si>
  <si>
    <t>spr_hero_zuzu_goblin_engineer_portrait</t>
  </si>
  <si>
    <t>Zuzu: Large dialogue/hero-select portrait with expressive face. Character direction: fast-talking goblin engineer with risky gadget confidence.</t>
  </si>
  <si>
    <t>spr_hero_zuzu_goblin_engineer_silhouette_locked</t>
  </si>
  <si>
    <t>Zuzu: Locked hero silhouette; recognizable but not fully revealed. Character direction: fast-talking goblin engineer with risky gadget confidence.</t>
  </si>
  <si>
    <t>ico_hero_zuzu_goblin_engineer</t>
  </si>
  <si>
    <t>Zuzu small icon for hero select, save slot, HUD, and unlock UI.</t>
  </si>
  <si>
    <t>spr_hero_lumi_star_witch_idle</t>
  </si>
  <si>
    <t>Lumi: Neutral battle idle; loopable and readable in top battle panel. Character direction: dreamy star witch who loves sparkly blocks and cascades.</t>
  </si>
  <si>
    <t>spr_hero_lumi_star_witch_cast</t>
  </si>
  <si>
    <t>Lumi: Spell-casting pose with clear silhouette and hand/wand motion. Character direction: dreamy star witch who loves sparkly blocks and cascades.</t>
  </si>
  <si>
    <t>spr_hero_lumi_star_witch_attack</t>
  </si>
  <si>
    <t>Lumi: Quick attack pose for line-clear damage feedback. Character direction: dreamy star witch who loves sparkly blocks and cascades.</t>
  </si>
  <si>
    <t>spr_hero_lumi_star_witch_hit</t>
  </si>
  <si>
    <t>Lumi: Short hurt/flinch pose, cute but readable. Character direction: dreamy star witch who loves sparkly blocks and cascades.</t>
  </si>
  <si>
    <t>spr_hero_lumi_star_witch_victory</t>
  </si>
  <si>
    <t>Lumi: Celebration pose for room clear and hero select preview. Character direction: dreamy star witch who loves sparkly blocks and cascades.</t>
  </si>
  <si>
    <t>spr_hero_lumi_star_witch_defeat</t>
  </si>
  <si>
    <t>Lumi: Soft defeat/tired pose without grim tone. Character direction: dreamy star witch who loves sparkly blocks and cascades.</t>
  </si>
  <si>
    <t>spr_hero_lumi_star_witch_portrait</t>
  </si>
  <si>
    <t>Lumi: Large dialogue/hero-select portrait with expressive face. Character direction: dreamy star witch who loves sparkly blocks and cascades.</t>
  </si>
  <si>
    <t>spr_hero_lumi_star_witch_silhouette_locked</t>
  </si>
  <si>
    <t>Lumi: Locked hero silhouette; recognizable but not fully revealed. Character direction: dreamy star witch who loves sparkly blocks and cascades.</t>
  </si>
  <si>
    <t>ico_hero_lumi_star_witch</t>
  </si>
  <si>
    <t>Lumi small icon for hero select, save slot, HUD, and unlock UI.</t>
  </si>
  <si>
    <t>spr_mon_cupcake_slime_idle</t>
  </si>
  <si>
    <t>sprites/monsters/</t>
  </si>
  <si>
    <t>Cupcake Slime: Loopable battle idle, cute and readable in small top battle panel. Direction: slime wearing whipped cream; basic enemy that drops sprinkles.</t>
  </si>
  <si>
    <t>spr_mon_cupcake_slime_attack</t>
  </si>
  <si>
    <t>Cupcake Slime: Attack animation pose matching its behavior. Direction: slime wearing whipped cream; basic enemy that drops sprinkles.</t>
  </si>
  <si>
    <t>spr_mon_cupcake_slime_hit</t>
  </si>
  <si>
    <t>Cupcake Slime: Short squash/flinch response when damaged. Direction: slime wearing whipped cream; basic enemy that drops sprinkles.</t>
  </si>
  <si>
    <t>spr_mon_cupcake_slime_defeat</t>
  </si>
  <si>
    <t>Cupcake Slime: Playful poof or calm-down defeat, no gore. Direction: slime wearing whipped cream; basic enemy that drops sprinkles.</t>
  </si>
  <si>
    <t>ico_mon_cupcake_slime</t>
  </si>
  <si>
    <t>icons/monsters/</t>
  </si>
  <si>
    <t>Cupcake Slime compact icon for bestiary, intent UI, debug spawn, or friendship screen.</t>
  </si>
  <si>
    <t>spr_mon_sugar_bat_idle</t>
  </si>
  <si>
    <t>Sugar Bat: Loopable battle idle, cute and readable in small top battle panel. Direction: small candy-rushed bat; disrupts next preview.</t>
  </si>
  <si>
    <t>spr_mon_sugar_bat_attack</t>
  </si>
  <si>
    <t>Sugar Bat: Attack animation pose matching its behavior. Direction: small candy-rushed bat; disrupts next preview.</t>
  </si>
  <si>
    <t>spr_mon_sugar_bat_hit</t>
  </si>
  <si>
    <t>Sugar Bat: Short squash/flinch response when damaged. Direction: small candy-rushed bat; disrupts next preview.</t>
  </si>
  <si>
    <t>spr_mon_sugar_bat_defeat</t>
  </si>
  <si>
    <t>Sugar Bat: Playful poof or calm-down defeat, no gore. Direction: small candy-rushed bat; disrupts next preview.</t>
  </si>
  <si>
    <t>ico_mon_sugar_bat</t>
  </si>
  <si>
    <t>Sugar Bat compact icon for bestiary, intent UI, debug spawn, or friendship screen.</t>
  </si>
  <si>
    <t>spr_mon_crumb_goblin_idle</t>
  </si>
  <si>
    <t>Crumb Goblin: Loopable battle idle, cute and readable in small top battle panel. Direction: tiny cookie crumb goblin; throws crumb junk.</t>
  </si>
  <si>
    <t>spr_mon_crumb_goblin_attack</t>
  </si>
  <si>
    <t>Crumb Goblin: Attack animation pose matching its behavior. Direction: tiny cookie crumb goblin; throws crumb junk.</t>
  </si>
  <si>
    <t>spr_mon_crumb_goblin_hit</t>
  </si>
  <si>
    <t>Crumb Goblin: Short squash/flinch response when damaged. Direction: tiny cookie crumb goblin; throws crumb junk.</t>
  </si>
  <si>
    <t>spr_mon_crumb_goblin_defeat</t>
  </si>
  <si>
    <t>Crumb Goblin: Playful poof or calm-down defeat, no gore. Direction: tiny cookie crumb goblin; throws crumb junk.</t>
  </si>
  <si>
    <t>ico_mon_crumb_goblin</t>
  </si>
  <si>
    <t>Crumb Goblin compact icon for bestiary, intent UI, debug spawn, or friendship screen.</t>
  </si>
  <si>
    <t>spr_mon_jelly_rat_idle</t>
  </si>
  <si>
    <t>Jelly Rat: Loopable battle idle, cute and readable in small top battle panel. Direction: fast wobbly rat; quick attacks.</t>
  </si>
  <si>
    <t>spr_mon_jelly_rat_attack</t>
  </si>
  <si>
    <t>Jelly Rat: Attack animation pose matching its behavior. Direction: fast wobbly rat; quick attacks.</t>
  </si>
  <si>
    <t>spr_mon_jelly_rat_hit</t>
  </si>
  <si>
    <t>Jelly Rat: Short squash/flinch response when damaged. Direction: fast wobbly rat; quick attacks.</t>
  </si>
  <si>
    <t>spr_mon_jelly_rat_defeat</t>
  </si>
  <si>
    <t>Jelly Rat: Playful poof or calm-down defeat, no gore. Direction: fast wobbly rat; quick attacks.</t>
  </si>
  <si>
    <t>ico_mon_jelly_rat</t>
  </si>
  <si>
    <t>Jelly Rat compact icon for bestiary, intent UI, debug spawn, or friendship screen.</t>
  </si>
  <si>
    <t>spr_mon_sprinkle_snail_idle</t>
  </si>
  <si>
    <t>Sprinkle Snail: Loopable battle idle, cute and readable in small top battle panel. Direction: slow candy snail; adds sticky blocks.</t>
  </si>
  <si>
    <t>spr_mon_sprinkle_snail_attack</t>
  </si>
  <si>
    <t>Sprinkle Snail: Attack animation pose matching its behavior. Direction: slow candy snail; adds sticky blocks.</t>
  </si>
  <si>
    <t>spr_mon_sprinkle_snail_hit</t>
  </si>
  <si>
    <t>Sprinkle Snail: Short squash/flinch response when damaged. Direction: slow candy snail; adds sticky blocks.</t>
  </si>
  <si>
    <t>spr_mon_sprinkle_snail_defeat</t>
  </si>
  <si>
    <t>Sprinkle Snail: Playful poof or calm-down defeat, no gore. Direction: slow candy snail; adds sticky blocks.</t>
  </si>
  <si>
    <t>ico_mon_sprinkle_snail</t>
  </si>
  <si>
    <t>Sprinkle Snail compact icon for bestiary, intent UI, debug spawn, or friendship screen.</t>
  </si>
  <si>
    <t>spr_mon_frosting_blob_idle</t>
  </si>
  <si>
    <t>Frosting Blob: Loopable battle idle, cute and readable in small top battle panel. Direction: soft frosting tank with squishy armor.</t>
  </si>
  <si>
    <t>spr_mon_frosting_blob_attack</t>
  </si>
  <si>
    <t>Frosting Blob: Attack animation pose matching its behavior. Direction: soft frosting tank with squishy armor.</t>
  </si>
  <si>
    <t>spr_mon_frosting_blob_hit</t>
  </si>
  <si>
    <t>Frosting Blob: Short squash/flinch response when damaged. Direction: soft frosting tank with squishy armor.</t>
  </si>
  <si>
    <t>spr_mon_frosting_blob_defeat</t>
  </si>
  <si>
    <t>Frosting Blob: Playful poof or calm-down defeat, no gore. Direction: soft frosting tank with squishy armor.</t>
  </si>
  <si>
    <t>ico_mon_frosting_blob</t>
  </si>
  <si>
    <t>Frosting Blob compact icon for bestiary, intent UI, debug spawn, or friendship screen.</t>
  </si>
  <si>
    <t>spr_mon_wrench_goblin_idle</t>
  </si>
  <si>
    <t>Wrench Goblin: Loopable battle idle, cute and readable in small top battle panel. Direction: goblin with oversized wrench; adds junk blocks.</t>
  </si>
  <si>
    <t>spr_mon_wrench_goblin_attack</t>
  </si>
  <si>
    <t>Wrench Goblin: Attack animation pose matching its behavior. Direction: goblin with oversized wrench; adds junk blocks.</t>
  </si>
  <si>
    <t>spr_mon_wrench_goblin_hit</t>
  </si>
  <si>
    <t>Wrench Goblin: Short squash/flinch response when damaged. Direction: goblin with oversized wrench; adds junk blocks.</t>
  </si>
  <si>
    <t>spr_mon_wrench_goblin_defeat</t>
  </si>
  <si>
    <t>Wrench Goblin: Playful poof or calm-down defeat, no gore. Direction: goblin with oversized wrench; adds junk blocks.</t>
  </si>
  <si>
    <t>ico_mon_wrench_goblin</t>
  </si>
  <si>
    <t>Wrench Goblin compact icon for bestiary, intent UI, debug spawn, or friendship screen.</t>
  </si>
  <si>
    <t>spr_mon_button_masher_idle</t>
  </si>
  <si>
    <t>Button Masher: Loopable battle idle, cute and readable in small top battle panel. Direction: little robot pressing every button; shakes board.</t>
  </si>
  <si>
    <t>spr_mon_button_masher_attack</t>
  </si>
  <si>
    <t>Button Masher: Attack animation pose matching its behavior. Direction: little robot pressing every button; shakes board.</t>
  </si>
  <si>
    <t>spr_mon_button_masher_hit</t>
  </si>
  <si>
    <t>Button Masher: Short squash/flinch response when damaged. Direction: little robot pressing every button; shakes board.</t>
  </si>
  <si>
    <t>spr_mon_button_masher_defeat</t>
  </si>
  <si>
    <t>Button Masher: Playful poof or calm-down defeat, no gore. Direction: little robot pressing every button; shakes board.</t>
  </si>
  <si>
    <t>ico_mon_button_masher</t>
  </si>
  <si>
    <t>Button Masher compact icon for bestiary, intent UI, debug spawn, or friendship screen.</t>
  </si>
  <si>
    <t>spr_mon_spring_bot_idle</t>
  </si>
  <si>
    <t>Spring Bot: Loopable battle idle, cute and readable in small top battle panel. Direction: spring-legged machine; speeds up next piece.</t>
  </si>
  <si>
    <t>spr_mon_spring_bot_attack</t>
  </si>
  <si>
    <t>Spring Bot: Attack animation pose matching its behavior. Direction: spring-legged machine; speeds up next piece.</t>
  </si>
  <si>
    <t>spr_mon_spring_bot_hit</t>
  </si>
  <si>
    <t>Spring Bot: Short squash/flinch response when damaged. Direction: spring-legged machine; speeds up next piece.</t>
  </si>
  <si>
    <t>spr_mon_spring_bot_defeat</t>
  </si>
  <si>
    <t>Spring Bot: Playful poof or calm-down defeat, no gore. Direction: spring-legged machine; speeds up next piece.</t>
  </si>
  <si>
    <t>ico_mon_spring_bot</t>
  </si>
  <si>
    <t>Spring Bot compact icon for bestiary, intent UI, debug spawn, or friendship screen.</t>
  </si>
  <si>
    <t>spr_mon_spark_gremlin_idle</t>
  </si>
  <si>
    <t>Spark Gremlin: Loopable battle idle, cute and readable in small top battle panel. Direction: tiny electric gremlin; zaps mana.</t>
  </si>
  <si>
    <t>spr_mon_spark_gremlin_attack</t>
  </si>
  <si>
    <t>Spark Gremlin: Attack animation pose matching its behavior. Direction: tiny electric gremlin; zaps mana.</t>
  </si>
  <si>
    <t>spr_mon_spark_gremlin_hit</t>
  </si>
  <si>
    <t>Spark Gremlin: Short squash/flinch response when damaged. Direction: tiny electric gremlin; zaps mana.</t>
  </si>
  <si>
    <t>spr_mon_spark_gremlin_defeat</t>
  </si>
  <si>
    <t>Spark Gremlin: Playful poof or calm-down defeat, no gore. Direction: tiny electric gremlin; zaps mana.</t>
  </si>
  <si>
    <t>ico_mon_spark_gremlin</t>
  </si>
  <si>
    <t>Spark Gremlin compact icon for bestiary, intent UI, debug spawn, or friendship screen.</t>
  </si>
  <si>
    <t>spr_mon_gear_slime_idle</t>
  </si>
  <si>
    <t>Gear Slime: Loopable battle idle, cute and readable in small top battle panel. Direction: slime with gear shell; armored tank.</t>
  </si>
  <si>
    <t>spr_mon_gear_slime_attack</t>
  </si>
  <si>
    <t>Gear Slime: Attack animation pose matching its behavior. Direction: slime with gear shell; armored tank.</t>
  </si>
  <si>
    <t>spr_mon_gear_slime_hit</t>
  </si>
  <si>
    <t>Gear Slime: Short squash/flinch response when damaged. Direction: slime with gear shell; armored tank.</t>
  </si>
  <si>
    <t>spr_mon_gear_slime_defeat</t>
  </si>
  <si>
    <t>Gear Slime: Playful poof or calm-down defeat, no gore. Direction: slime with gear shell; armored tank.</t>
  </si>
  <si>
    <t>ico_mon_gear_slime</t>
  </si>
  <si>
    <t>Gear Slime compact icon for bestiary, intent UI, debug spawn, or friendship screen.</t>
  </si>
  <si>
    <t>spr_mon_rattle_drone_idle</t>
  </si>
  <si>
    <t>Rattle Drone: Loopable battle idle, cute and readable in small top battle panel. Direction: shaky flying drone; drops random column junk.</t>
  </si>
  <si>
    <t>spr_mon_rattle_drone_attack</t>
  </si>
  <si>
    <t>Rattle Drone: Attack animation pose matching its behavior. Direction: shaky flying drone; drops random column junk.</t>
  </si>
  <si>
    <t>spr_mon_rattle_drone_hit</t>
  </si>
  <si>
    <t>Rattle Drone: Short squash/flinch response when damaged. Direction: shaky flying drone; drops random column junk.</t>
  </si>
  <si>
    <t>spr_mon_rattle_drone_defeat</t>
  </si>
  <si>
    <t>Rattle Drone: Playful poof or calm-down defeat, no gore. Direction: shaky flying drone; drops random column junk.</t>
  </si>
  <si>
    <t>ico_mon_rattle_drone</t>
  </si>
  <si>
    <t>Rattle Drone compact icon for bestiary, intent UI, debug spawn, or friendship screen.</t>
  </si>
  <si>
    <t>spr_mon_ice_cream_imp_idle</t>
  </si>
  <si>
    <t>Ice Cream Imp: Loopable battle idle, cute and readable in small top battle panel. Direction: mischievous frozen imp; applies freeze.</t>
  </si>
  <si>
    <t>spr_mon_ice_cream_imp_attack</t>
  </si>
  <si>
    <t>Ice Cream Imp: Attack animation pose matching its behavior. Direction: mischievous frozen imp; applies freeze.</t>
  </si>
  <si>
    <t>spr_mon_ice_cream_imp_hit</t>
  </si>
  <si>
    <t>Ice Cream Imp: Short squash/flinch response when damaged. Direction: mischievous frozen imp; applies freeze.</t>
  </si>
  <si>
    <t>spr_mon_ice_cream_imp_defeat</t>
  </si>
  <si>
    <t>Ice Cream Imp: Playful poof or calm-down defeat, no gore. Direction: mischievous frozen imp; applies freeze.</t>
  </si>
  <si>
    <t>ico_mon_ice_cream_imp</t>
  </si>
  <si>
    <t>Ice Cream Imp compact icon for bestiary, intent UI, debug spawn, or friendship screen.</t>
  </si>
  <si>
    <t>spr_mon_popsicle_bat_idle</t>
  </si>
  <si>
    <t>Popsicle Bat: Loopable battle idle, cute and readable in small top battle panel. Direction: cold bat on a stick; hides hold preview.</t>
  </si>
  <si>
    <t>spr_mon_popsicle_bat_attack</t>
  </si>
  <si>
    <t>Popsicle Bat: Attack animation pose matching its behavior. Direction: cold bat on a stick; hides hold preview.</t>
  </si>
  <si>
    <t>spr_mon_popsicle_bat_hit</t>
  </si>
  <si>
    <t>Popsicle Bat: Short squash/flinch response when damaged. Direction: cold bat on a stick; hides hold preview.</t>
  </si>
  <si>
    <t>spr_mon_popsicle_bat_defeat</t>
  </si>
  <si>
    <t>Popsicle Bat: Playful poof or calm-down defeat, no gore. Direction: cold bat on a stick; hides hold preview.</t>
  </si>
  <si>
    <t>ico_mon_popsicle_bat</t>
  </si>
  <si>
    <t>Popsicle Bat compact icon for bestiary, intent UI, debug spawn, or friendship screen.</t>
  </si>
  <si>
    <t>spr_mon_chill_slime_idle</t>
  </si>
  <si>
    <t>Chill Slime: Loopable battle idle, cute and readable in small top battle panel. Direction: cold slime; slows then spikes fall speed.</t>
  </si>
  <si>
    <t>spr_mon_chill_slime_attack</t>
  </si>
  <si>
    <t>Chill Slime: Attack animation pose matching its behavior. Direction: cold slime; slows then spikes fall speed.</t>
  </si>
  <si>
    <t>spr_mon_chill_slime_hit</t>
  </si>
  <si>
    <t>Chill Slime: Short squash/flinch response when damaged. Direction: cold slime; slows then spikes fall speed.</t>
  </si>
  <si>
    <t>spr_mon_chill_slime_defeat</t>
  </si>
  <si>
    <t>Chill Slime: Playful poof or calm-down defeat, no gore. Direction: cold slime; slows then spikes fall speed.</t>
  </si>
  <si>
    <t>ico_mon_chill_slime</t>
  </si>
  <si>
    <t>Chill Slime compact icon for bestiary, intent UI, debug spawn, or friendship screen.</t>
  </si>
  <si>
    <t>spr_mon_freezer_mimic_idle</t>
  </si>
  <si>
    <t>Freezer Mimic: Loopable battle idle, cute and readable in small top battle panel. Direction: freezer chest monster; freezes active block.</t>
  </si>
  <si>
    <t>spr_mon_freezer_mimic_attack</t>
  </si>
  <si>
    <t>Freezer Mimic: Attack animation pose matching its behavior. Direction: freezer chest monster; freezes active block.</t>
  </si>
  <si>
    <t>spr_mon_freezer_mimic_hit</t>
  </si>
  <si>
    <t>Freezer Mimic: Short squash/flinch response when damaged. Direction: freezer chest monster; freezes active block.</t>
  </si>
  <si>
    <t>spr_mon_freezer_mimic_defeat</t>
  </si>
  <si>
    <t>Freezer Mimic: Playful poof or calm-down defeat, no gore. Direction: freezer chest monster; freezes active block.</t>
  </si>
  <si>
    <t>ico_mon_freezer_mimic</t>
  </si>
  <si>
    <t>Freezer Mimic compact icon for bestiary, intent UI, debug spawn, or friendship screen.</t>
  </si>
  <si>
    <t>spr_mon_snowcone_sprite_idle</t>
  </si>
  <si>
    <t>Snowcone Sprite: Loopable battle idle, cute and readable in small top battle panel. Direction: small ice sprite; creates ice blocks.</t>
  </si>
  <si>
    <t>spr_mon_snowcone_sprite_attack</t>
  </si>
  <si>
    <t>Snowcone Sprite: Attack animation pose matching its behavior. Direction: small ice sprite; creates ice blocks.</t>
  </si>
  <si>
    <t>spr_mon_snowcone_sprite_hit</t>
  </si>
  <si>
    <t>Snowcone Sprite: Short squash/flinch response when damaged. Direction: small ice sprite; creates ice blocks.</t>
  </si>
  <si>
    <t>spr_mon_snowcone_sprite_defeat</t>
  </si>
  <si>
    <t>Snowcone Sprite: Playful poof or calm-down defeat, no gore. Direction: small ice sprite; creates ice blocks.</t>
  </si>
  <si>
    <t>ico_mon_snowcone_sprite</t>
  </si>
  <si>
    <t>Snowcone Sprite compact icon for bestiary, intent UI, debug spawn, or friendship screen.</t>
  </si>
  <si>
    <t>spr_mon_pudding_penguin_idle</t>
  </si>
  <si>
    <t>Pudding Penguin: Loopable battle idle, cute and readable in small top battle panel. Direction: cute pudding penguin; slides junk blocks.</t>
  </si>
  <si>
    <t>spr_mon_pudding_penguin_attack</t>
  </si>
  <si>
    <t>Pudding Penguin: Attack animation pose matching its behavior. Direction: cute pudding penguin; slides junk blocks.</t>
  </si>
  <si>
    <t>spr_mon_pudding_penguin_hit</t>
  </si>
  <si>
    <t>Pudding Penguin: Short squash/flinch response when damaged. Direction: cute pudding penguin; slides junk blocks.</t>
  </si>
  <si>
    <t>spr_mon_pudding_penguin_defeat</t>
  </si>
  <si>
    <t>Pudding Penguin: Playful poof or calm-down defeat, no gore. Direction: cute pudding penguin; slides junk blocks.</t>
  </si>
  <si>
    <t>ico_mon_pudding_penguin</t>
  </si>
  <si>
    <t>Pudding Penguin compact icon for bestiary, intent UI, debug spawn, or friendship screen.</t>
  </si>
  <si>
    <t>spr_mon_button_knight_idle</t>
  </si>
  <si>
    <t>Button Knight: Loopable battle idle, cute and readable in small top battle panel. Direction: toy knight with button shield; shields self.</t>
  </si>
  <si>
    <t>spr_mon_button_knight_attack</t>
  </si>
  <si>
    <t>Button Knight: Attack animation pose matching its behavior. Direction: toy knight with button shield; shields self.</t>
  </si>
  <si>
    <t>spr_mon_button_knight_hit</t>
  </si>
  <si>
    <t>Button Knight: Short squash/flinch response when damaged. Direction: toy knight with button shield; shields self.</t>
  </si>
  <si>
    <t>spr_mon_button_knight_defeat</t>
  </si>
  <si>
    <t>Button Knight: Playful poof or calm-down defeat, no gore. Direction: toy knight with button shield; shields self.</t>
  </si>
  <si>
    <t>ico_mon_button_knight</t>
  </si>
  <si>
    <t>Button Knight compact icon for bestiary, intent UI, debug spawn, or friendship screen.</t>
  </si>
  <si>
    <t>spr_mon_blanket_ghost_idle</t>
  </si>
  <si>
    <t>Blanket Ghost: Loopable battle idle, cute and readable in small top battle panel. Direction: soft blanket ghost; applies Sleepy.</t>
  </si>
  <si>
    <t>spr_mon_blanket_ghost_attack</t>
  </si>
  <si>
    <t>Blanket Ghost: Attack animation pose matching its behavior. Direction: soft blanket ghost; applies Sleepy.</t>
  </si>
  <si>
    <t>spr_mon_blanket_ghost_hit</t>
  </si>
  <si>
    <t>Blanket Ghost: Short squash/flinch response when damaged. Direction: soft blanket ghost; applies Sleepy.</t>
  </si>
  <si>
    <t>spr_mon_blanket_ghost_defeat</t>
  </si>
  <si>
    <t>Blanket Ghost: Playful poof or calm-down defeat, no gore. Direction: soft blanket ghost; applies Sleepy.</t>
  </si>
  <si>
    <t>ico_mon_blanket_ghost</t>
  </si>
  <si>
    <t>Blanket Ghost compact icon for bestiary, intent UI, debug spawn, or friendship screen.</t>
  </si>
  <si>
    <t>spr_mon_plush_dragon_idle</t>
  </si>
  <si>
    <t>Plush Dragon: Loopable battle idle, cute and readable in small top battle panel. Direction: stuffed dragon; cotton-candy flame.</t>
  </si>
  <si>
    <t>spr_mon_plush_dragon_attack</t>
  </si>
  <si>
    <t>Plush Dragon: Attack animation pose matching its behavior. Direction: stuffed dragon; cotton-candy flame.</t>
  </si>
  <si>
    <t>spr_mon_plush_dragon_hit</t>
  </si>
  <si>
    <t>Plush Dragon: Short squash/flinch response when damaged. Direction: stuffed dragon; cotton-candy flame.</t>
  </si>
  <si>
    <t>spr_mon_plush_dragon_defeat</t>
  </si>
  <si>
    <t>Plush Dragon: Playful poof or calm-down defeat, no gore. Direction: stuffed dragon; cotton-candy flame.</t>
  </si>
  <si>
    <t>ico_mon_plush_dragon</t>
  </si>
  <si>
    <t>Plush Dragon compact icon for bestiary, intent UI, debug spawn, or friendship screen.</t>
  </si>
  <si>
    <t>spr_mon_toy_soldier_idle</t>
  </si>
  <si>
    <t>Toy Soldier: Loopable battle idle, cute and readable in small top battle panel. Direction: wind-up soldier; formation attack.</t>
  </si>
  <si>
    <t>spr_mon_toy_soldier_attack</t>
  </si>
  <si>
    <t>Toy Soldier: Attack animation pose matching its behavior. Direction: wind-up soldier; formation attack.</t>
  </si>
  <si>
    <t>spr_mon_toy_soldier_hit</t>
  </si>
  <si>
    <t>Toy Soldier: Short squash/flinch response when damaged. Direction: wind-up soldier; formation attack.</t>
  </si>
  <si>
    <t>spr_mon_toy_soldier_defeat</t>
  </si>
  <si>
    <t>Toy Soldier: Playful poof or calm-down defeat, no gore. Direction: wind-up soldier; formation attack.</t>
  </si>
  <si>
    <t>ico_mon_toy_soldier</t>
  </si>
  <si>
    <t>Toy Soldier compact icon for bestiary, intent UI, debug spawn, or friendship screen.</t>
  </si>
  <si>
    <t>spr_mon_pillow_squire_idle</t>
  </si>
  <si>
    <t>Pillow Squire: Loopable battle idle, cute and readable in small top battle panel. Direction: small cushion squire; defensive soft blocks.</t>
  </si>
  <si>
    <t>spr_mon_pillow_squire_attack</t>
  </si>
  <si>
    <t>Pillow Squire: Attack animation pose matching its behavior. Direction: small cushion squire; defensive soft blocks.</t>
  </si>
  <si>
    <t>spr_mon_pillow_squire_hit</t>
  </si>
  <si>
    <t>Pillow Squire: Short squash/flinch response when damaged. Direction: small cushion squire; defensive soft blocks.</t>
  </si>
  <si>
    <t>spr_mon_pillow_squire_defeat</t>
  </si>
  <si>
    <t>Pillow Squire: Playful poof or calm-down defeat, no gore. Direction: small cushion squire; defensive soft blocks.</t>
  </si>
  <si>
    <t>ico_mon_pillow_squire</t>
  </si>
  <si>
    <t>Pillow Squire compact icon for bestiary, intent UI, debug spawn, or friendship screen.</t>
  </si>
  <si>
    <t>spr_mon_sock_sprite_idle</t>
  </si>
  <si>
    <t>Sock Sprite: Loopable battle idle, cute and readable in small top battle panel. Direction: lost sock trickster; swaps next/hold preview.</t>
  </si>
  <si>
    <t>spr_mon_sock_sprite_attack</t>
  </si>
  <si>
    <t>Sock Sprite: Attack animation pose matching its behavior. Direction: lost sock trickster; swaps next/hold preview.</t>
  </si>
  <si>
    <t>spr_mon_sock_sprite_hit</t>
  </si>
  <si>
    <t>Sock Sprite: Short squash/flinch response when damaged. Direction: lost sock trickster; swaps next/hold preview.</t>
  </si>
  <si>
    <t>spr_mon_sock_sprite_defeat</t>
  </si>
  <si>
    <t>Sock Sprite: Playful poof or calm-down defeat, no gore. Direction: lost sock trickster; swaps next/hold preview.</t>
  </si>
  <si>
    <t>ico_mon_sock_sprite</t>
  </si>
  <si>
    <t>Sock Sprite compact icon for bestiary, intent UI, debug spawn, or friendship screen.</t>
  </si>
  <si>
    <t>spr_mon_token_sprite_idle</t>
  </si>
  <si>
    <t>Token Sprite: Loopable battle idle, cute and readable in small top battle panel. Direction: living arcade token; steals or gives gold.</t>
  </si>
  <si>
    <t>spr_mon_token_sprite_attack</t>
  </si>
  <si>
    <t>Token Sprite: Attack animation pose matching its behavior. Direction: living arcade token; steals or gives gold.</t>
  </si>
  <si>
    <t>spr_mon_token_sprite_hit</t>
  </si>
  <si>
    <t>Token Sprite: Short squash/flinch response when damaged. Direction: living arcade token; steals or gives gold.</t>
  </si>
  <si>
    <t>spr_mon_token_sprite_defeat</t>
  </si>
  <si>
    <t>Token Sprite: Playful poof or calm-down defeat, no gore. Direction: living arcade token; steals or gives gold.</t>
  </si>
  <si>
    <t>ico_mon_token_sprite</t>
  </si>
  <si>
    <t>Token Sprite compact icon for bestiary, intent UI, debug spawn, or friendship screen.</t>
  </si>
  <si>
    <t>spr_mon_combo_gremlin_idle</t>
  </si>
  <si>
    <t>Combo Gremlin: Loopable battle idle, cute and readable in small top battle panel. Direction: gremlin obsessed with combos; punishes no cascade.</t>
  </si>
  <si>
    <t>spr_mon_combo_gremlin_attack</t>
  </si>
  <si>
    <t>Combo Gremlin: Attack animation pose matching its behavior. Direction: gremlin obsessed with combos; punishes no cascade.</t>
  </si>
  <si>
    <t>spr_mon_combo_gremlin_hit</t>
  </si>
  <si>
    <t>Combo Gremlin: Short squash/flinch response when damaged. Direction: gremlin obsessed with combos; punishes no cascade.</t>
  </si>
  <si>
    <t>spr_mon_combo_gremlin_defeat</t>
  </si>
  <si>
    <t>Combo Gremlin: Playful poof or calm-down defeat, no gore. Direction: gremlin obsessed with combos; punishes no cascade.</t>
  </si>
  <si>
    <t>ico_mon_combo_gremlin</t>
  </si>
  <si>
    <t>Combo Gremlin compact icon for bestiary, intent UI, debug spawn, or friendship screen.</t>
  </si>
  <si>
    <t>spr_mon_neon_bat_idle</t>
  </si>
  <si>
    <t>Neon Bat: Loopable battle idle, cute and readable in small top battle panel. Direction: glowing bat; flashes preview.</t>
  </si>
  <si>
    <t>spr_mon_neon_bat_attack</t>
  </si>
  <si>
    <t>Neon Bat: Attack animation pose matching its behavior. Direction: glowing bat; flashes preview.</t>
  </si>
  <si>
    <t>spr_mon_neon_bat_hit</t>
  </si>
  <si>
    <t>Neon Bat: Short squash/flinch response when damaged. Direction: glowing bat; flashes preview.</t>
  </si>
  <si>
    <t>spr_mon_neon_bat_defeat</t>
  </si>
  <si>
    <t>Neon Bat: Playful poof or calm-down defeat, no gore. Direction: glowing bat; flashes preview.</t>
  </si>
  <si>
    <t>ico_mon_neon_bat</t>
  </si>
  <si>
    <t>Neon Bat compact icon for bestiary, intent UI, debug spawn, or friendship screen.</t>
  </si>
  <si>
    <t>spr_mon_prize_claw_mimic_idle</t>
  </si>
  <si>
    <t>Prize Claw Mimic: Loopable battle idle, cute and readable in small top battle panel. Direction: claw machine mimic; grabs random block.</t>
  </si>
  <si>
    <t>spr_mon_prize_claw_mimic_attack</t>
  </si>
  <si>
    <t>Prize Claw Mimic: Attack animation pose matching its behavior. Direction: claw machine mimic; grabs random block.</t>
  </si>
  <si>
    <t>spr_mon_prize_claw_mimic_hit</t>
  </si>
  <si>
    <t>Prize Claw Mimic: Short squash/flinch response when damaged. Direction: claw machine mimic; grabs random block.</t>
  </si>
  <si>
    <t>spr_mon_prize_claw_mimic_defeat</t>
  </si>
  <si>
    <t>Prize Claw Mimic: Playful poof or calm-down defeat, no gore. Direction: claw machine mimic; grabs random block.</t>
  </si>
  <si>
    <t>ico_mon_prize_claw_mimic</t>
  </si>
  <si>
    <t>Prize Claw Mimic compact icon for bestiary, intent UI, debug spawn, or friendship screen.</t>
  </si>
  <si>
    <t>spr_mon_pixel_blob_idle</t>
  </si>
  <si>
    <t>Pixel Blob: Loopable battle idle, cute and readable in small top battle panel. Direction: arcade blob; splits on hit.</t>
  </si>
  <si>
    <t>spr_mon_pixel_blob_attack</t>
  </si>
  <si>
    <t>Pixel Blob: Attack animation pose matching its behavior. Direction: arcade blob; splits on hit.</t>
  </si>
  <si>
    <t>spr_mon_pixel_blob_hit</t>
  </si>
  <si>
    <t>Pixel Blob: Short squash/flinch response when damaged. Direction: arcade blob; splits on hit.</t>
  </si>
  <si>
    <t>spr_mon_pixel_blob_defeat</t>
  </si>
  <si>
    <t>Pixel Blob: Playful poof or calm-down defeat, no gore. Direction: arcade blob; splits on hit.</t>
  </si>
  <si>
    <t>ico_mon_pixel_blob</t>
  </si>
  <si>
    <t>Pixel Blob compact icon for bestiary, intent UI, debug spawn, or friendship screen.</t>
  </si>
  <si>
    <t>spr_mon_joystick_jester_idle</t>
  </si>
  <si>
    <t>Joystick Jester: Loopable battle idle, cute and readable in small top battle panel. Direction: joystick trickster; reverses controls briefly.</t>
  </si>
  <si>
    <t>spr_mon_joystick_jester_attack</t>
  </si>
  <si>
    <t>Joystick Jester: Attack animation pose matching its behavior. Direction: joystick trickster; reverses controls briefly.</t>
  </si>
  <si>
    <t>spr_mon_joystick_jester_hit</t>
  </si>
  <si>
    <t>Joystick Jester: Short squash/flinch response when damaged. Direction: joystick trickster; reverses controls briefly.</t>
  </si>
  <si>
    <t>spr_mon_joystick_jester_defeat</t>
  </si>
  <si>
    <t>Joystick Jester: Playful poof or calm-down defeat, no gore. Direction: joystick trickster; reverses controls briefly.</t>
  </si>
  <si>
    <t>ico_mon_joystick_jester</t>
  </si>
  <si>
    <t>Joystick Jester compact icon for bestiary, intent UI, debug spawn, or friendship screen.</t>
  </si>
  <si>
    <t>spr_mon_royal_block_guard_idle</t>
  </si>
  <si>
    <t>Royal Block Guard: Loopable battle idle, cute and readable in small top battle panel. Direction: armored block guard; creates pattern blocks.</t>
  </si>
  <si>
    <t>spr_mon_royal_block_guard_attack</t>
  </si>
  <si>
    <t>Royal Block Guard: Attack animation pose matching its behavior. Direction: armored block guard; creates pattern blocks.</t>
  </si>
  <si>
    <t>spr_mon_royal_block_guard_hit</t>
  </si>
  <si>
    <t>Royal Block Guard: Short squash/flinch response when damaged. Direction: armored block guard; creates pattern blocks.</t>
  </si>
  <si>
    <t>spr_mon_royal_block_guard_defeat</t>
  </si>
  <si>
    <t>Royal Block Guard: Playful poof or calm-down defeat, no gore. Direction: armored block guard; creates pattern blocks.</t>
  </si>
  <si>
    <t>ico_mon_royal_block_guard</t>
  </si>
  <si>
    <t>Royal Block Guard compact icon for bestiary, intent UI, debug spawn, or friendship screen.</t>
  </si>
  <si>
    <t>spr_mon_square_jester_idle</t>
  </si>
  <si>
    <t>Square Jester: Loopable battle idle, cute and readable in small top battle panel. Direction: awkward-shape jester; creates annoying shapes.</t>
  </si>
  <si>
    <t>spr_mon_square_jester_attack</t>
  </si>
  <si>
    <t>Square Jester: Attack animation pose matching its behavior. Direction: awkward-shape jester; creates annoying shapes.</t>
  </si>
  <si>
    <t>spr_mon_square_jester_hit</t>
  </si>
  <si>
    <t>Square Jester: Short squash/flinch response when damaged. Direction: awkward-shape jester; creates annoying shapes.</t>
  </si>
  <si>
    <t>spr_mon_square_jester_defeat</t>
  </si>
  <si>
    <t>Square Jester: Playful poof or calm-down defeat, no gore. Direction: awkward-shape jester; creates annoying shapes.</t>
  </si>
  <si>
    <t>ico_mon_square_jester</t>
  </si>
  <si>
    <t>Square Jester compact icon for bestiary, intent UI, debug spawn, or friendship screen.</t>
  </si>
  <si>
    <t>spr_mon_crown_bat_idle</t>
  </si>
  <si>
    <t>Crown Bat: Loopable battle idle, cute and readable in small top battle panel. Direction: royal bat; hides inventory briefly.</t>
  </si>
  <si>
    <t>spr_mon_crown_bat_attack</t>
  </si>
  <si>
    <t>Crown Bat: Attack animation pose matching its behavior. Direction: royal bat; hides inventory briefly.</t>
  </si>
  <si>
    <t>spr_mon_crown_bat_hit</t>
  </si>
  <si>
    <t>Crown Bat: Short squash/flinch response when damaged. Direction: royal bat; hides inventory briefly.</t>
  </si>
  <si>
    <t>spr_mon_crown_bat_defeat</t>
  </si>
  <si>
    <t>Crown Bat: Playful poof or calm-down defeat, no gore. Direction: royal bat; hides inventory briefly.</t>
  </si>
  <si>
    <t>ico_mon_crown_bat</t>
  </si>
  <si>
    <t>Crown Bat compact icon for bestiary, intent UI, debug spawn, or friendship screen.</t>
  </si>
  <si>
    <t>spr_mon_parade_golem_idle</t>
  </si>
  <si>
    <t>Parade Golem: Loopable battle idle, cute and readable in small top battle panel. Direction: marching toy golem; pushes junk upward.</t>
  </si>
  <si>
    <t>spr_mon_parade_golem_attack</t>
  </si>
  <si>
    <t>Parade Golem: Attack animation pose matching its behavior. Direction: marching toy golem; pushes junk upward.</t>
  </si>
  <si>
    <t>spr_mon_parade_golem_hit</t>
  </si>
  <si>
    <t>Parade Golem: Short squash/flinch response when damaged. Direction: marching toy golem; pushes junk upward.</t>
  </si>
  <si>
    <t>spr_mon_parade_golem_defeat</t>
  </si>
  <si>
    <t>Parade Golem: Playful poof or calm-down defeat, no gore. Direction: marching toy golem; pushes junk upward.</t>
  </si>
  <si>
    <t>ico_mon_parade_golem</t>
  </si>
  <si>
    <t>Parade Golem compact icon for bestiary, intent UI, debug spawn, or friendship screen.</t>
  </si>
  <si>
    <t>spr_mon_confetti_mage_idle</t>
  </si>
  <si>
    <t>Confetti Mage: Loopable battle idle, cute and readable in small top battle panel. Direction: party mage; creates random colorful blocks.</t>
  </si>
  <si>
    <t>spr_mon_confetti_mage_attack</t>
  </si>
  <si>
    <t>Confetti Mage: Attack animation pose matching its behavior. Direction: party mage; creates random colorful blocks.</t>
  </si>
  <si>
    <t>spr_mon_confetti_mage_hit</t>
  </si>
  <si>
    <t>Confetti Mage: Short squash/flinch response when damaged. Direction: party mage; creates random colorful blocks.</t>
  </si>
  <si>
    <t>spr_mon_confetti_mage_defeat</t>
  </si>
  <si>
    <t>Confetti Mage: Playful poof or calm-down defeat, no gore. Direction: party mage; creates random colorful blocks.</t>
  </si>
  <si>
    <t>ico_mon_confetti_mage</t>
  </si>
  <si>
    <t>Confetti Mage compact icon for bestiary, intent UI, debug spawn, or friendship screen.</t>
  </si>
  <si>
    <t>spr_mon_banner_bug_idle</t>
  </si>
  <si>
    <t>Banner Bug: Loopable battle idle, cute and readable in small top battle panel. Direction: tiny banner bug; buffs enemy attack.</t>
  </si>
  <si>
    <t>spr_mon_banner_bug_attack</t>
  </si>
  <si>
    <t>Banner Bug: Attack animation pose matching its behavior. Direction: tiny banner bug; buffs enemy attack.</t>
  </si>
  <si>
    <t>spr_mon_banner_bug_hit</t>
  </si>
  <si>
    <t>Banner Bug: Short squash/flinch response when damaged. Direction: tiny banner bug; buffs enemy attack.</t>
  </si>
  <si>
    <t>spr_mon_banner_bug_defeat</t>
  </si>
  <si>
    <t>Banner Bug: Playful poof or calm-down defeat, no gore. Direction: tiny banner bug; buffs enemy attack.</t>
  </si>
  <si>
    <t>ico_mon_banner_bug</t>
  </si>
  <si>
    <t>Banner Bug compact icon for bestiary, intent UI, debug spawn, or friendship screen.</t>
  </si>
  <si>
    <t>spr_boss_cupcake_slime_king_idle</t>
  </si>
  <si>
    <t>sprites/bosses/</t>
  </si>
  <si>
    <t>Cupcake Slime King: Large boss idle loop with strong silhouette and stage personality. Arena/character direction: sticky candy sewer boss arena with frosting puddles and giant cupcake slime throne.</t>
  </si>
  <si>
    <t>spr_boss_cupcake_slime_king_attack</t>
  </si>
  <si>
    <t>Cupcake Slime King: Main attack pose for basic boss action. Arena/character direction: sticky candy sewer boss arena with frosting puddles and giant cupcake slime throne.</t>
  </si>
  <si>
    <t>spr_boss_cupcake_slime_king_special</t>
  </si>
  <si>
    <t>Cupcake Slime King: Unique mechanic pose for boss gimmick. Arena/character direction: sticky candy sewer boss arena with frosting puddles and giant cupcake slime throne.</t>
  </si>
  <si>
    <t>spr_boss_cupcake_slime_king_phase_2</t>
  </si>
  <si>
    <t>Cupcake Slime King: Altered phase-two visual state, readable but not completely new boss. Arena/character direction: sticky candy sewer boss arena with frosting puddles and giant cupcake slime throne.</t>
  </si>
  <si>
    <t>spr_boss_cupcake_slime_king_hit</t>
  </si>
  <si>
    <t>Cupcake Slime King: Heavy hit reaction without scary violence. Arena/character direction: sticky candy sewer boss arena with frosting puddles and giant cupcake slime throne.</t>
  </si>
  <si>
    <t>spr_boss_cupcake_slime_king_defeat</t>
  </si>
  <si>
    <t>Cupcake Slime King: Big playful defeat/calm-down animation. Arena/character direction: sticky candy sewer boss arena with frosting puddles and giant cupcake slime throne.</t>
  </si>
  <si>
    <t>spr_boss_cupcake_slime_king_intro_portrait</t>
  </si>
  <si>
    <t>Cupcake Slime King: Large intro/rule-card portrait with expressive personality. Arena/character direction: sticky candy sewer boss arena with frosting puddles and giant cupcake slime throne.</t>
  </si>
  <si>
    <t>ico_boss_cupcake_slime_king</t>
  </si>
  <si>
    <t>icons/bosses/</t>
  </si>
  <si>
    <t>Cupcake Slime King compact icon for map boss node, boss rule card, and debug tools.</t>
  </si>
  <si>
    <t>ico_boss_rule_boss_cupcake_slime_king</t>
  </si>
  <si>
    <t>icons/boss-rules/</t>
  </si>
  <si>
    <t>Cupcake Slime King rule-card icon representing the boss gimmick clearly.</t>
  </si>
  <si>
    <t>spr_boss_prototype_no_7_idle</t>
  </si>
  <si>
    <t>Prototype No. 7: Large boss idle loop with strong silhouette and stage personality. Arena/character direction: malfunctioning workshop arena with safe-looking machines and bomb props.</t>
  </si>
  <si>
    <t>spr_boss_prototype_no_7_attack</t>
  </si>
  <si>
    <t>Prototype No. 7: Main attack pose for basic boss action. Arena/character direction: malfunctioning workshop arena with safe-looking machines and bomb props.</t>
  </si>
  <si>
    <t>spr_boss_prototype_no_7_special</t>
  </si>
  <si>
    <t>Prototype No. 7: Unique mechanic pose for boss gimmick. Arena/character direction: malfunctioning workshop arena with safe-looking machines and bomb props.</t>
  </si>
  <si>
    <t>spr_boss_prototype_no_7_phase_2</t>
  </si>
  <si>
    <t>Prototype No. 7: Altered phase-two visual state, readable but not completely new boss. Arena/character direction: malfunctioning workshop arena with safe-looking machines and bomb props.</t>
  </si>
  <si>
    <t>spr_boss_prototype_no_7_hit</t>
  </si>
  <si>
    <t>Prototype No. 7: Heavy hit reaction without scary violence. Arena/character direction: malfunctioning workshop arena with safe-looking machines and bomb props.</t>
  </si>
  <si>
    <t>spr_boss_prototype_no_7_defeat</t>
  </si>
  <si>
    <t>Prototype No. 7: Big playful defeat/calm-down animation. Arena/character direction: malfunctioning workshop arena with safe-looking machines and bomb props.</t>
  </si>
  <si>
    <t>spr_boss_prototype_no_7_intro_portrait</t>
  </si>
  <si>
    <t>Prototype No. 7: Large intro/rule-card portrait with expressive personality. Arena/character direction: malfunctioning workshop arena with safe-looking machines and bomb props.</t>
  </si>
  <si>
    <t>ico_boss_prototype_no_7</t>
  </si>
  <si>
    <t>Prototype No. 7 compact icon for map boss node, boss rule card, and debug tools.</t>
  </si>
  <si>
    <t>ico_boss_rule_boss_prototype_no_7</t>
  </si>
  <si>
    <t>Prototype No. 7 rule-card icon representing the boss gimmick clearly.</t>
  </si>
  <si>
    <t>spr_boss_gelato_golem_idle</t>
  </si>
  <si>
    <t>Gelato Golem: Large boss idle loop with strong silhouette and stage personality. Arena/character direction: freezer boss arena with melting rainbow gelato and ice platforms.</t>
  </si>
  <si>
    <t>spr_boss_gelato_golem_attack</t>
  </si>
  <si>
    <t>Gelato Golem: Main attack pose for basic boss action. Arena/character direction: freezer boss arena with melting rainbow gelato and ice platforms.</t>
  </si>
  <si>
    <t>spr_boss_gelato_golem_special</t>
  </si>
  <si>
    <t>Gelato Golem: Unique mechanic pose for boss gimmick. Arena/character direction: freezer boss arena with melting rainbow gelato and ice platforms.</t>
  </si>
  <si>
    <t>spr_boss_gelato_golem_phase_2</t>
  </si>
  <si>
    <t>Gelato Golem: Altered phase-two visual state, readable but not completely new boss. Arena/character direction: freezer boss arena with melting rainbow gelato and ice platforms.</t>
  </si>
  <si>
    <t>spr_boss_gelato_golem_hit</t>
  </si>
  <si>
    <t>Gelato Golem: Heavy hit reaction without scary violence. Arena/character direction: freezer boss arena with melting rainbow gelato and ice platforms.</t>
  </si>
  <si>
    <t>spr_boss_gelato_golem_defeat</t>
  </si>
  <si>
    <t>Gelato Golem: Big playful defeat/calm-down animation. Arena/character direction: freezer boss arena with melting rainbow gelato and ice platforms.</t>
  </si>
  <si>
    <t>spr_boss_gelato_golem_intro_portrait</t>
  </si>
  <si>
    <t>Gelato Golem: Large intro/rule-card portrait with expressive personality. Arena/character direction: freezer boss arena with melting rainbow gelato and ice platforms.</t>
  </si>
  <si>
    <t>ico_boss_gelato_golem</t>
  </si>
  <si>
    <t>Gelato Golem compact icon for map boss node, boss rule card, and debug tools.</t>
  </si>
  <si>
    <t>ico_boss_rule_boss_gelato_golem</t>
  </si>
  <si>
    <t>Gelato Golem rule-card icon representing the boss gimmick clearly.</t>
  </si>
  <si>
    <t>spr_boss_sir_snore_a_lot_idle</t>
  </si>
  <si>
    <t>Sir Snore-a-Lot: Large boss idle loop with strong silhouette and stage personality. Arena/character direction: pillow castle boss arena with blanket banners and sleepy toy shields.</t>
  </si>
  <si>
    <t>spr_boss_sir_snore_a_lot_attack</t>
  </si>
  <si>
    <t>Sir Snore-a-Lot: Main attack pose for basic boss action. Arena/character direction: pillow castle boss arena with blanket banners and sleepy toy shields.</t>
  </si>
  <si>
    <t>spr_boss_sir_snore_a_lot_special</t>
  </si>
  <si>
    <t>Sir Snore-a-Lot: Unique mechanic pose for boss gimmick. Arena/character direction: pillow castle boss arena with blanket banners and sleepy toy shields.</t>
  </si>
  <si>
    <t>spr_boss_sir_snore_a_lot_phase_2</t>
  </si>
  <si>
    <t>Sir Snore-a-Lot: Altered phase-two visual state, readable but not completely new boss. Arena/character direction: pillow castle boss arena with blanket banners and sleepy toy shields.</t>
  </si>
  <si>
    <t>spr_boss_sir_snore_a_lot_hit</t>
  </si>
  <si>
    <t>Sir Snore-a-Lot: Heavy hit reaction without scary violence. Arena/character direction: pillow castle boss arena with blanket banners and sleepy toy shields.</t>
  </si>
  <si>
    <t>spr_boss_sir_snore_a_lot_defeat</t>
  </si>
  <si>
    <t>Sir Snore-a-Lot: Big playful defeat/calm-down animation. Arena/character direction: pillow castle boss arena with blanket banners and sleepy toy shields.</t>
  </si>
  <si>
    <t>spr_boss_sir_snore_a_lot_intro_portrait</t>
  </si>
  <si>
    <t>Sir Snore-a-Lot: Large intro/rule-card portrait with expressive personality. Arena/character direction: pillow castle boss arena with blanket banners and sleepy toy shields.</t>
  </si>
  <si>
    <t>ico_boss_sir_snore_a_lot</t>
  </si>
  <si>
    <t>Sir Snore-a-Lot compact icon for map boss node, boss rule card, and debug tools.</t>
  </si>
  <si>
    <t>ico_boss_rule_boss_sir_snore_a_lot</t>
  </si>
  <si>
    <t>Sir Snore-a-Lot rule-card icon representing the boss gimmick clearly.</t>
  </si>
  <si>
    <t>spr_boss_high_score_hydra_idle</t>
  </si>
  <si>
    <t>High Score Hydra: Large boss idle loop with strong silhouette and stage personality. Arena/character direction: arcade boss arena with scoreboard, neon combo lights, and hydra cabinet energy.</t>
  </si>
  <si>
    <t>spr_boss_high_score_hydra_attack</t>
  </si>
  <si>
    <t>High Score Hydra: Main attack pose for basic boss action. Arena/character direction: arcade boss arena with scoreboard, neon combo lights, and hydra cabinet energy.</t>
  </si>
  <si>
    <t>spr_boss_high_score_hydra_special</t>
  </si>
  <si>
    <t>High Score Hydra: Unique mechanic pose for boss gimmick. Arena/character direction: arcade boss arena with scoreboard, neon combo lights, and hydra cabinet energy.</t>
  </si>
  <si>
    <t>spr_boss_high_score_hydra_phase_2</t>
  </si>
  <si>
    <t>High Score Hydra: Altered phase-two visual state, readable but not completely new boss. Arena/character direction: arcade boss arena with scoreboard, neon combo lights, and hydra cabinet energy.</t>
  </si>
  <si>
    <t>spr_boss_high_score_hydra_hit</t>
  </si>
  <si>
    <t>High Score Hydra: Heavy hit reaction without scary violence. Arena/character direction: arcade boss arena with scoreboard, neon combo lights, and hydra cabinet energy.</t>
  </si>
  <si>
    <t>spr_boss_high_score_hydra_defeat</t>
  </si>
  <si>
    <t>High Score Hydra: Big playful defeat/calm-down animation. Arena/character direction: arcade boss arena with scoreboard, neon combo lights, and hydra cabinet energy.</t>
  </si>
  <si>
    <t>spr_boss_high_score_hydra_intro_portrait</t>
  </si>
  <si>
    <t>High Score Hydra: Large intro/rule-card portrait with expressive personality. Arena/character direction: arcade boss arena with scoreboard, neon combo lights, and hydra cabinet energy.</t>
  </si>
  <si>
    <t>ico_boss_high_score_hydra</t>
  </si>
  <si>
    <t>High Score Hydra compact icon for map boss node, boss rule card, and debug tools.</t>
  </si>
  <si>
    <t>ico_boss_rule_boss_high_score_hydra</t>
  </si>
  <si>
    <t>High Score Hydra rule-card icon representing the boss gimmick clearly.</t>
  </si>
  <si>
    <t>spr_boss_king_bloxley_idle</t>
  </si>
  <si>
    <t>King Bloxley: Large boss idle loop with strong silhouette and stage personality. Arena/character direction: final royal block throne room with symmetry marks and confetti cannons.</t>
  </si>
  <si>
    <t>spr_boss_king_bloxley_attack</t>
  </si>
  <si>
    <t>King Bloxley: Main attack pose for basic boss action. Arena/character direction: final royal block throne room with symmetry marks and confetti cannons.</t>
  </si>
  <si>
    <t>spr_boss_king_bloxley_special</t>
  </si>
  <si>
    <t>King Bloxley: Unique mechanic pose for boss gimmick. Arena/character direction: final royal block throne room with symmetry marks and confetti cannons.</t>
  </si>
  <si>
    <t>spr_boss_king_bloxley_phase_2</t>
  </si>
  <si>
    <t>King Bloxley: Altered phase-two visual state, readable but not completely new boss. Arena/character direction: final royal block throne room with symmetry marks and confetti cannons.</t>
  </si>
  <si>
    <t>spr_boss_king_bloxley_hit</t>
  </si>
  <si>
    <t>King Bloxley: Heavy hit reaction without scary violence. Arena/character direction: final royal block throne room with symmetry marks and confetti cannons.</t>
  </si>
  <si>
    <t>spr_boss_king_bloxley_defeat</t>
  </si>
  <si>
    <t>King Bloxley: Big playful defeat/calm-down animation. Arena/character direction: final royal block throne room with symmetry marks and confetti cannons.</t>
  </si>
  <si>
    <t>spr_boss_king_bloxley_intro_portrait</t>
  </si>
  <si>
    <t>King Bloxley: Large intro/rule-card portrait with expressive personality. Arena/character direction: final royal block throne room with symmetry marks and confetti cannons.</t>
  </si>
  <si>
    <t>ico_boss_king_bloxley</t>
  </si>
  <si>
    <t>King Bloxley compact icon for map boss node, boss rule card, and debug tools.</t>
  </si>
  <si>
    <t>ico_boss_rule_boss_king_bloxley</t>
  </si>
  <si>
    <t>King Bloxley rule-card icon representing the boss gimmick clearly.</t>
  </si>
  <si>
    <t>spr_npc_professor_poplin_idle</t>
  </si>
  <si>
    <t>sprites/npcs/</t>
  </si>
  <si>
    <t>Professor Poplin small idle sprite. Direction: inventor/tutorial wizard; excited, absent-minded, harmless.</t>
  </si>
  <si>
    <t>spr_npc_professor_poplin_portrait</t>
  </si>
  <si>
    <t>Professor Poplin dialogue portrait with strong expression and readable face.</t>
  </si>
  <si>
    <t>ico_npc_professor_poplin</t>
  </si>
  <si>
    <t>icons/npcs/</t>
  </si>
  <si>
    <t>Professor Poplin compact icon for dialogue headers, map/shop/event labels.</t>
  </si>
  <si>
    <t>spr_npc_marnie_merchant_idle</t>
  </si>
  <si>
    <t>Marnie the Merchant small idle sprite. Direction: general shop NPC; warm, practical, festival-stall energy.</t>
  </si>
  <si>
    <t>spr_npc_marnie_merchant_portrait</t>
  </si>
  <si>
    <t>Marnie the Merchant dialogue portrait with strong expression and readable face.</t>
  </si>
  <si>
    <t>ico_npc_marnie_merchant</t>
  </si>
  <si>
    <t>Marnie the Merchant compact icon for dialogue headers, map/shop/event labels.</t>
  </si>
  <si>
    <t>spr_npc_ticket_imp_idle</t>
  </si>
  <si>
    <t>Ticket Imp small idle sprite. Direction: arcade/event NPC; mischievous but friendly.</t>
  </si>
  <si>
    <t>spr_npc_ticket_imp_portrait</t>
  </si>
  <si>
    <t>Ticket Imp dialogue portrait with strong expression and readable face.</t>
  </si>
  <si>
    <t>ico_npc_ticket_imp</t>
  </si>
  <si>
    <t>Ticket Imp compact icon for dialogue headers, map/shop/event labels.</t>
  </si>
  <si>
    <t>spr_npc_bloop_idle</t>
  </si>
  <si>
    <t>Bloop small idle sprite. Direction: friendly slime NPC; simple expressive blob.</t>
  </si>
  <si>
    <t>spr_npc_bloop_portrait</t>
  </si>
  <si>
    <t>Bloop dialogue portrait with strong expression and readable face.</t>
  </si>
  <si>
    <t>ico_npc_bloop</t>
  </si>
  <si>
    <t>Bloop compact icon for dialogue headers, map/shop/event labels.</t>
  </si>
  <si>
    <t>spr_npc_king_bloxley_idle</t>
  </si>
  <si>
    <t>King Bloxley small idle sprite. Direction: block mascot king in non-combat dialogue form.</t>
  </si>
  <si>
    <t>spr_npc_king_bloxley_portrait</t>
  </si>
  <si>
    <t>King Bloxley dialogue portrait with strong expression and readable face.</t>
  </si>
  <si>
    <t>ico_npc_king_bloxley</t>
  </si>
  <si>
    <t>King Bloxley compact icon for dialogue headers, map/shop/event labels.</t>
  </si>
  <si>
    <t>spr_npc_festival_announcer_idle</t>
  </si>
  <si>
    <t>Festival Announcer small idle sprite. Direction: stage intro and event announcer; showy and upbeat.</t>
  </si>
  <si>
    <t>spr_npc_festival_announcer_portrait</t>
  </si>
  <si>
    <t>Festival Announcer dialogue portrait with strong expression and readable face.</t>
  </si>
  <si>
    <t>ico_npc_festival_announcer</t>
  </si>
  <si>
    <t>Festival Announcer compact icon for dialogue headers, map/shop/event labels.</t>
  </si>
  <si>
    <t>spr_npc_cake_judge_idle</t>
  </si>
  <si>
    <t>Cake Judge small idle sprite. Direction: sidequest NPC; serious about dessert presentation.</t>
  </si>
  <si>
    <t>spr_npc_cake_judge_portrait</t>
  </si>
  <si>
    <t>Cake Judge dialogue portrait with strong expression and readable face.</t>
  </si>
  <si>
    <t>ico_npc_cake_judge</t>
  </si>
  <si>
    <t>Cake Judge compact icon for dialogue headers, map/shop/event labels.</t>
  </si>
  <si>
    <t>spr_npc_repair_sprite_idle</t>
  </si>
  <si>
    <t>Repair Sprite small idle sprite. Direction: upgrade/rest NPC; tiny helper with tools.</t>
  </si>
  <si>
    <t>spr_npc_repair_sprite_portrait</t>
  </si>
  <si>
    <t>Repair Sprite dialogue portrait with strong expression and readable face.</t>
  </si>
  <si>
    <t>ico_npc_repair_sprite</t>
  </si>
  <si>
    <t>Repair Sprite compact icon for dialogue headers, map/shop/event labels.</t>
  </si>
  <si>
    <t>spr_block_red_rune</t>
  </si>
  <si>
    <t>sprites/board-blocks/</t>
  </si>
  <si>
    <t>Red Rune: Base board tile/sprite. Direction: basic red magical rune block; clean readable color/symbol.</t>
  </si>
  <si>
    <t>spr_block_red_rune_glow</t>
  </si>
  <si>
    <t>Red Rune: Glow/highlight version for selection, warning, or active effect. Direction: basic red magical rune block; clean readable color/symbol.</t>
  </si>
  <si>
    <t>spr_block_red_rune_clear</t>
  </si>
  <si>
    <t>Red Rune: Clear/burst frame used when block is removed. Direction: basic red magical rune block; clean readable color/symbol.</t>
  </si>
  <si>
    <t>ico_block_red_rune</t>
  </si>
  <si>
    <t>icons/board-blocks/</t>
  </si>
  <si>
    <t>Red Rune icon for tutorial, tooltips, boss rule cards, and content UI.</t>
  </si>
  <si>
    <t>spr_block_blue_rune</t>
  </si>
  <si>
    <t>Blue Rune: Base board tile/sprite. Direction: basic blue magical rune block; clean readable color/symbol.</t>
  </si>
  <si>
    <t>spr_block_blue_rune_glow</t>
  </si>
  <si>
    <t>Blue Rune: Glow/highlight version for selection, warning, or active effect. Direction: basic blue magical rune block; clean readable color/symbol.</t>
  </si>
  <si>
    <t>spr_block_blue_rune_clear</t>
  </si>
  <si>
    <t>Blue Rune: Clear/burst frame used when block is removed. Direction: basic blue magical rune block; clean readable color/symbol.</t>
  </si>
  <si>
    <t>ico_block_blue_rune</t>
  </si>
  <si>
    <t>Blue Rune icon for tutorial, tooltips, boss rule cards, and content UI.</t>
  </si>
  <si>
    <t>spr_block_green_rune</t>
  </si>
  <si>
    <t>Green Rune: Base board tile/sprite. Direction: basic green magical rune block; clean readable color/symbol.</t>
  </si>
  <si>
    <t>spr_block_green_rune_glow</t>
  </si>
  <si>
    <t>Green Rune: Glow/highlight version for selection, warning, or active effect. Direction: basic green magical rune block; clean readable color/symbol.</t>
  </si>
  <si>
    <t>spr_block_green_rune_clear</t>
  </si>
  <si>
    <t>Green Rune: Clear/burst frame used when block is removed. Direction: basic green magical rune block; clean readable color/symbol.</t>
  </si>
  <si>
    <t>ico_block_green_rune</t>
  </si>
  <si>
    <t>Green Rune icon for tutorial, tooltips, boss rule cards, and content UI.</t>
  </si>
  <si>
    <t>spr_block_yellow_rune</t>
  </si>
  <si>
    <t>Yellow Rune: Base board tile/sprite. Direction: basic yellow magical rune block; clean readable color/symbol.</t>
  </si>
  <si>
    <t>spr_block_yellow_rune_glow</t>
  </si>
  <si>
    <t>Yellow Rune: Glow/highlight version for selection, warning, or active effect. Direction: basic yellow magical rune block; clean readable color/symbol.</t>
  </si>
  <si>
    <t>spr_block_yellow_rune_clear</t>
  </si>
  <si>
    <t>Yellow Rune: Clear/burst frame used when block is removed. Direction: basic yellow magical rune block; clean readable color/symbol.</t>
  </si>
  <si>
    <t>ico_block_yellow_rune</t>
  </si>
  <si>
    <t>Yellow Rune icon for tutorial, tooltips, boss rule cards, and content UI.</t>
  </si>
  <si>
    <t>spr_block_sprinkle</t>
  </si>
  <si>
    <t>Sprinkle Block: Base board tile/sprite. Direction: bonus candy block that gives mana when cleared.</t>
  </si>
  <si>
    <t>spr_block_sprinkle_glow</t>
  </si>
  <si>
    <t>Sprinkle Block: Glow/highlight version for selection, warning, or active effect. Direction: bonus candy block that gives mana when cleared.</t>
  </si>
  <si>
    <t>spr_block_sprinkle_clear</t>
  </si>
  <si>
    <t>Sprinkle Block: Clear/burst frame used when block is removed. Direction: bonus candy block that gives mana when cleared.</t>
  </si>
  <si>
    <t>ico_block_sprinkle</t>
  </si>
  <si>
    <t>Sprinkle Block icon for tutorial, tooltips, boss rule cards, and content UI.</t>
  </si>
  <si>
    <t>spr_block_cupcake</t>
  </si>
  <si>
    <t>Cupcake Block: Base board tile/sprite. Direction: healing snack block with tiny frosting/cupcake motif.</t>
  </si>
  <si>
    <t>spr_block_cupcake_glow</t>
  </si>
  <si>
    <t>Cupcake Block: Glow/highlight version for selection, warning, or active effect. Direction: healing snack block with tiny frosting/cupcake motif.</t>
  </si>
  <si>
    <t>spr_block_cupcake_clear</t>
  </si>
  <si>
    <t>Cupcake Block: Clear/burst frame used when block is removed. Direction: healing snack block with tiny frosting/cupcake motif.</t>
  </si>
  <si>
    <t>ico_block_cupcake</t>
  </si>
  <si>
    <t>Cupcake Block icon for tutorial, tooltips, boss rule cards, and content UI.</t>
  </si>
  <si>
    <t>spr_block_bomb</t>
  </si>
  <si>
    <t>Bomb Block: Base board tile/sprite. Direction: toy bomb block that clears nearby cells.</t>
  </si>
  <si>
    <t>spr_block_bomb_glow</t>
  </si>
  <si>
    <t>Bomb Block: Glow/highlight version for selection, warning, or active effect. Direction: toy bomb block that clears nearby cells.</t>
  </si>
  <si>
    <t>spr_block_bomb_clear</t>
  </si>
  <si>
    <t>Bomb Block: Clear/burst frame used when block is removed. Direction: toy bomb block that clears nearby cells.</t>
  </si>
  <si>
    <t>ico_block_bomb</t>
  </si>
  <si>
    <t>Bomb Block icon for tutorial, tooltips, boss rule cards, and content UI.</t>
  </si>
  <si>
    <t>spr_block_star</t>
  </si>
  <si>
    <t>Star Block: Base board tile/sprite. Direction: sparkly star block that boosts cascade/combo reward.</t>
  </si>
  <si>
    <t>spr_block_star_glow</t>
  </si>
  <si>
    <t>Star Block: Glow/highlight version for selection, warning, or active effect. Direction: sparkly star block that boosts cascade/combo reward.</t>
  </si>
  <si>
    <t>spr_block_star_clear</t>
  </si>
  <si>
    <t>Star Block: Clear/burst frame used when block is removed. Direction: sparkly star block that boosts cascade/combo reward.</t>
  </si>
  <si>
    <t>ico_block_star</t>
  </si>
  <si>
    <t>Star Block icon for tutorial, tooltips, boss rule cards, and content UI.</t>
  </si>
  <si>
    <t>spr_block_jelly</t>
  </si>
  <si>
    <t>Jelly Block: Base board tile/sprite. Direction: wobbly soft block that feels bouncy during cascade.</t>
  </si>
  <si>
    <t>spr_block_jelly_glow</t>
  </si>
  <si>
    <t>Jelly Block: Glow/highlight version for selection, warning, or active effect. Direction: wobbly soft block that feels bouncy during cascade.</t>
  </si>
  <si>
    <t>spr_block_jelly_clear</t>
  </si>
  <si>
    <t>Jelly Block: Clear/burst frame used when block is removed. Direction: wobbly soft block that feels bouncy during cascade.</t>
  </si>
  <si>
    <t>ico_block_jelly</t>
  </si>
  <si>
    <t>Jelly Block icon for tutorial, tooltips, boss rule cards, and content UI.</t>
  </si>
  <si>
    <t>spr_block_ice</t>
  </si>
  <si>
    <t>Ice Block: Base board tile/sprite. Direction: icy block with frosty shine and frozen edges.</t>
  </si>
  <si>
    <t>spr_block_ice_glow</t>
  </si>
  <si>
    <t>Ice Block: Glow/highlight version for selection, warning, or active effect. Direction: icy block with frosty shine and frozen edges.</t>
  </si>
  <si>
    <t>spr_block_ice_clear</t>
  </si>
  <si>
    <t>Ice Block: Clear/burst frame used when block is removed. Direction: icy block with frosty shine and frozen edges.</t>
  </si>
  <si>
    <t>ico_block_ice</t>
  </si>
  <si>
    <t>Ice Block icon for tutorial, tooltips, boss rule cards, and content UI.</t>
  </si>
  <si>
    <t>spr_block_sticky</t>
  </si>
  <si>
    <t>Sticky Block: Base board tile/sprite. Direction: sticky candy hazard with goo/syrup texture.</t>
  </si>
  <si>
    <t>spr_block_sticky_glow</t>
  </si>
  <si>
    <t>Sticky Block: Glow/highlight version for selection, warning, or active effect. Direction: sticky candy hazard with goo/syrup texture.</t>
  </si>
  <si>
    <t>spr_block_sticky_clear</t>
  </si>
  <si>
    <t>Sticky Block: Clear/burst frame used when block is removed. Direction: sticky candy hazard with goo/syrup texture.</t>
  </si>
  <si>
    <t>ico_block_sticky</t>
  </si>
  <si>
    <t>Sticky Block icon for tutorial, tooltips, boss rule cards, and content UI.</t>
  </si>
  <si>
    <t>spr_block_crumb_junk</t>
  </si>
  <si>
    <t>Crumb Junk: Base board tile/sprite. Direction: crumbly enemy junk block; messy but readable.</t>
  </si>
  <si>
    <t>spr_block_crumb_junk_glow</t>
  </si>
  <si>
    <t>Crumb Junk: Glow/highlight version for selection, warning, or active effect. Direction: crumbly enemy junk block; messy but readable.</t>
  </si>
  <si>
    <t>spr_block_crumb_junk_clear</t>
  </si>
  <si>
    <t>Crumb Junk: Clear/burst frame used when block is removed. Direction: crumbly enemy junk block; messy but readable.</t>
  </si>
  <si>
    <t>ico_block_crumb_junk</t>
  </si>
  <si>
    <t>Crumb Junk icon for tutorial, tooltips, boss rule cards, and content UI.</t>
  </si>
  <si>
    <t>spr_block_royal</t>
  </si>
  <si>
    <t>Royal Block: Base board tile/sprite. Direction: Bloxley boss block with crown/square royal motif.</t>
  </si>
  <si>
    <t>spr_block_royal_glow</t>
  </si>
  <si>
    <t>Royal Block: Glow/highlight version for selection, warning, or active effect. Direction: Bloxley boss block with crown/square royal motif.</t>
  </si>
  <si>
    <t>spr_block_royal_clear</t>
  </si>
  <si>
    <t>Royal Block: Clear/burst frame used when block is removed. Direction: Bloxley boss block with crown/square royal motif.</t>
  </si>
  <si>
    <t>ico_block_royal</t>
  </si>
  <si>
    <t>Royal Block icon for tutorial, tooltips, boss rule cards, and content UI.</t>
  </si>
  <si>
    <t>spr_block_confetti</t>
  </si>
  <si>
    <t>Confetti Block: Base board tile/sprite. Direction: party block with random bonus feel.</t>
  </si>
  <si>
    <t>spr_block_confetti_glow</t>
  </si>
  <si>
    <t>Confetti Block: Glow/highlight version for selection, warning, or active effect. Direction: party block with random bonus feel.</t>
  </si>
  <si>
    <t>spr_block_confetti_clear</t>
  </si>
  <si>
    <t>Confetti Block: Clear/burst frame used when block is removed. Direction: party block with random bonus feel.</t>
  </si>
  <si>
    <t>ico_block_confetti</t>
  </si>
  <si>
    <t>Confetti Block icon for tutorial, tooltips, boss rule cards, and content UI.</t>
  </si>
  <si>
    <t>spr_block_toolbox</t>
  </si>
  <si>
    <t>Toolbox Block: Base board tile/sprite. Direction: gadget/tool block that charges items.</t>
  </si>
  <si>
    <t>spr_block_toolbox_glow</t>
  </si>
  <si>
    <t>Toolbox Block: Glow/highlight version for selection, warning, or active effect. Direction: gadget/tool block that charges items.</t>
  </si>
  <si>
    <t>spr_block_toolbox_clear</t>
  </si>
  <si>
    <t>Toolbox Block: Clear/burst frame used when block is removed. Direction: gadget/tool block that charges items.</t>
  </si>
  <si>
    <t>ico_block_toolbox</t>
  </si>
  <si>
    <t>Toolbox Block icon for tutorial, tooltips, boss rule cards, and content UI.</t>
  </si>
  <si>
    <t>spr_block_floaty_rune</t>
  </si>
  <si>
    <t>Floaty Rune: Base board tile/sprite. Direction: floating hazard block with hover/countdown visual language.</t>
  </si>
  <si>
    <t>spr_block_floaty_rune_glow</t>
  </si>
  <si>
    <t>Floaty Rune: Glow/highlight version for selection, warning, or active effect. Direction: floating hazard block with hover/countdown visual language.</t>
  </si>
  <si>
    <t>spr_block_floaty_rune_clear</t>
  </si>
  <si>
    <t>Floaty Rune: Clear/burst frame used when block is removed. Direction: floating hazard block with hover/countdown visual language.</t>
  </si>
  <si>
    <t>ico_block_floaty_rune</t>
  </si>
  <si>
    <t>Floaty Rune icon for tutorial, tooltips, boss rule cards, and content UI.</t>
  </si>
  <si>
    <t>spr_block_cloud_junk</t>
  </si>
  <si>
    <t>Cloud Junk: Base board tile/sprite. Direction: floating puffy junk variant that later drops into board.</t>
  </si>
  <si>
    <t>spr_block_cloud_junk_glow</t>
  </si>
  <si>
    <t>Cloud Junk: Glow/highlight version for selection, warning, or active effect. Direction: floating puffy junk variant that later drops into board.</t>
  </si>
  <si>
    <t>spr_block_cloud_junk_clear</t>
  </si>
  <si>
    <t>Cloud Junk: Clear/burst frame used when block is removed. Direction: floating puffy junk variant that later drops into board.</t>
  </si>
  <si>
    <t>ico_block_cloud_junk</t>
  </si>
  <si>
    <t>Cloud Junk icon for tutorial, tooltips, boss rule cards, and content UI.</t>
  </si>
  <si>
    <t>spr_block_locked_rune</t>
  </si>
  <si>
    <t>Locked Rune: Base board tile/sprite. Direction: locked block that should visually show it cannot fall/cascade yet.</t>
  </si>
  <si>
    <t>spr_block_locked_rune_glow</t>
  </si>
  <si>
    <t>Locked Rune: Glow/highlight version for selection, warning, or active effect. Direction: locked block that should visually show it cannot fall/cascade yet.</t>
  </si>
  <si>
    <t>spr_block_locked_rune_clear</t>
  </si>
  <si>
    <t>Locked Rune: Clear/burst frame used when block is removed. Direction: locked block that should visually show it cannot fall/cascade yet.</t>
  </si>
  <si>
    <t>ico_block_locked_rune</t>
  </si>
  <si>
    <t>Locked Rune icon for tutorial, tooltips, boss rule cards, and content UI.</t>
  </si>
  <si>
    <t>spr_block_cracked_junk</t>
  </si>
  <si>
    <t>Cracked Junk: Base board tile/sprite. Direction: durable junk with visible crack stages, needs two clears or bomb.</t>
  </si>
  <si>
    <t>spr_block_cracked_junk_glow</t>
  </si>
  <si>
    <t>Cracked Junk: Glow/highlight version for selection, warning, or active effect. Direction: durable junk with visible crack stages, needs two clears or bomb.</t>
  </si>
  <si>
    <t>spr_block_cracked_junk_clear</t>
  </si>
  <si>
    <t>Cracked Junk: Clear/burst frame used when block is removed. Direction: durable junk with visible crack stages, needs two clears or bomb.</t>
  </si>
  <si>
    <t>ico_block_cracked_junk</t>
  </si>
  <si>
    <t>Cracked Junk icon for tutorial, tooltips, boss rule cards, and content UI.</t>
  </si>
  <si>
    <t>spr_board_grid_cell</t>
  </si>
  <si>
    <t>Base empty grid cell tile; subtle enough not to fight block colors.</t>
  </si>
  <si>
    <t>spr_board_grid_cell_highlight</t>
  </si>
  <si>
    <t>Highlighted grid cell for targeting, spell preview, or tutorial focus.</t>
  </si>
  <si>
    <t>spr_board_frame_default</t>
  </si>
  <si>
    <t>Default board frame, mobile-readable and cheerful.</t>
  </si>
  <si>
    <t>spr_board_frame_elite</t>
  </si>
  <si>
    <t>Elite battle board frame with mild danger accent.</t>
  </si>
  <si>
    <t>spr_board_frame_boss</t>
  </si>
  <si>
    <t>Boss battle board frame with stage-specific dramatic trim.</t>
  </si>
  <si>
    <t>spr_board_ghost_piece</t>
  </si>
  <si>
    <t>Transparent ghost/landing preview piece.</t>
  </si>
  <si>
    <t>spr_board_drop_shadow</t>
  </si>
  <si>
    <t>Soft shadow under falling piece or hard-drop target.</t>
  </si>
  <si>
    <t>spr_board_warning_low_ceiling</t>
  </si>
  <si>
    <t>Visual overlay marker showing temporary low ceiling danger.</t>
  </si>
  <si>
    <t>spr_board_warning_incoming_junk</t>
  </si>
  <si>
    <t>Board warning marker for where incoming junk may land.</t>
  </si>
  <si>
    <t>spr_board_warning_floaty_block</t>
  </si>
  <si>
    <t>Warning marker for floating block countdown/hover danger.</t>
  </si>
  <si>
    <t>ico_spl_fireball</t>
  </si>
  <si>
    <t>icons/spells/</t>
  </si>
  <si>
    <t>Fireball spell icon. Must clearly communicate: Fire damage; should feel like Pippa preheating the enemy.</t>
  </si>
  <si>
    <t>vfx_spl_fireball_cast</t>
  </si>
  <si>
    <t>sprites/effects/</t>
  </si>
  <si>
    <t>Cast VFX: short readable effect around hero/spell button for Fireball.</t>
  </si>
  <si>
    <t>vfx_spl_fireball_impact</t>
  </si>
  <si>
    <t>Impact VFX: board/enemy effect showing result of Fireball.</t>
  </si>
  <si>
    <t>ico_spl_frost_lock</t>
  </si>
  <si>
    <t>Frost Lock spell icon. Must clearly communicate: Control spell; chills fall speed or freezes enemy timing.</t>
  </si>
  <si>
    <t>vfx_spl_frost_lock_cast</t>
  </si>
  <si>
    <t>Cast VFX: short readable effect around hero/spell button for Frost Lock.</t>
  </si>
  <si>
    <t>vfx_spl_frost_lock_impact</t>
  </si>
  <si>
    <t>Impact VFX: board/enemy effect showing result of Frost Lock.</t>
  </si>
  <si>
    <t>ico_spl_bomb_rune</t>
  </si>
  <si>
    <t>Bomb Rune spell icon. Must clearly communicate: Board-clear spell; creates a toy bomb area clear.</t>
  </si>
  <si>
    <t>vfx_spl_bomb_rune_cast</t>
  </si>
  <si>
    <t>Cast VFX: short readable effect around hero/spell button for Bomb Rune.</t>
  </si>
  <si>
    <t>vfx_spl_bomb_rune_impact</t>
  </si>
  <si>
    <t>Impact VFX: board/enemy effect showing result of Bomb Rune.</t>
  </si>
  <si>
    <t>ico_spl_clean_cut</t>
  </si>
  <si>
    <t>Clean Cut spell icon. Must clearly communicate: Precise cleanup spell that clears a row or messy pattern.</t>
  </si>
  <si>
    <t>vfx_spl_clean_cut_cast</t>
  </si>
  <si>
    <t>Cast VFX: short readable effect around hero/spell button for Clean Cut.</t>
  </si>
  <si>
    <t>vfx_spl_clean_cut_impact</t>
  </si>
  <si>
    <t>Impact VFX: board/enemy effect showing result of Clean Cut.</t>
  </si>
  <si>
    <t>ico_spl_sprinkle_shower</t>
  </si>
  <si>
    <t>Sprinkle Shower spell icon. Must clearly communicate: Candy mana spell that rains helpful sprinkles.</t>
  </si>
  <si>
    <t>vfx_spl_sprinkle_shower_cast</t>
  </si>
  <si>
    <t>Cast VFX: short readable effect around hero/spell button for Sprinkle Shower.</t>
  </si>
  <si>
    <t>vfx_spl_sprinkle_shower_impact</t>
  </si>
  <si>
    <t>Impact VFX: board/enemy effect showing result of Sprinkle Shower.</t>
  </si>
  <si>
    <t>ico_spl_cupcake_blast</t>
  </si>
  <si>
    <t>Cupcake Blast spell icon. Must clearly communicate: Sweet damage/heal spell with frosting burst.</t>
  </si>
  <si>
    <t>vfx_spl_cupcake_blast_cast</t>
  </si>
  <si>
    <t>Cast VFX: short readable effect around hero/spell button for Cupcake Blast.</t>
  </si>
  <si>
    <t>vfx_spl_cupcake_blast_impact</t>
  </si>
  <si>
    <t>Impact VFX: board/enemy effect showing result of Cupcake Blast.</t>
  </si>
  <si>
    <t>ico_spl_confetti_pop</t>
  </si>
  <si>
    <t>Confetti Pop spell icon. Must clearly communicate: Party spell that clears random cells with colorful chaos.</t>
  </si>
  <si>
    <t>vfx_spl_confetti_pop_cast</t>
  </si>
  <si>
    <t>Cast VFX: short readable effect around hero/spell button for Confetti Pop.</t>
  </si>
  <si>
    <t>vfx_spl_confetti_pop_impact</t>
  </si>
  <si>
    <t>Impact VFX: board/enemy effect showing result of Confetti Pop.</t>
  </si>
  <si>
    <t>ico_spl_bubble_shield</t>
  </si>
  <si>
    <t>Bubble Shield spell icon. Must clearly communicate: Defensive spell that creates a soft protective bubble.</t>
  </si>
  <si>
    <t>vfx_spl_bubble_shield_cast</t>
  </si>
  <si>
    <t>Cast VFX: short readable effect around hero/spell button for Bubble Shield.</t>
  </si>
  <si>
    <t>vfx_spl_bubble_shield_impact</t>
  </si>
  <si>
    <t>Impact VFX: board/enemy effect showing result of Bubble Shield.</t>
  </si>
  <si>
    <t>ico_spl_star_spark</t>
  </si>
  <si>
    <t>Star Spark spell icon. Must clearly communicate: Combo-scaling star spell for cascade play.</t>
  </si>
  <si>
    <t>vfx_spl_star_spark_cast</t>
  </si>
  <si>
    <t>Cast VFX: short readable effect around hero/spell button for Star Spark.</t>
  </si>
  <si>
    <t>vfx_spl_star_spark_impact</t>
  </si>
  <si>
    <t>Impact VFX: board/enemy effect showing result of Star Spark.</t>
  </si>
  <si>
    <t>ico_spl_jelly_bounce</t>
  </si>
  <si>
    <t>Jelly Bounce spell icon. Must clearly communicate: Utility spell that delays enemy or bounces board pressure.</t>
  </si>
  <si>
    <t>vfx_spl_jelly_bounce_cast</t>
  </si>
  <si>
    <t>Cast VFX: short readable effect around hero/spell button for Jelly Bounce.</t>
  </si>
  <si>
    <t>vfx_spl_jelly_bounce_impact</t>
  </si>
  <si>
    <t>Impact VFX: board/enemy effect showing result of Jelly Bounce.</t>
  </si>
  <si>
    <t>ico_spl_snowcone_burst</t>
  </si>
  <si>
    <t>Snowcone Burst spell icon. Must clearly communicate: Frost burst that delays or freezes enemy action.</t>
  </si>
  <si>
    <t>vfx_spl_snowcone_burst_cast</t>
  </si>
  <si>
    <t>Cast VFX: short readable effect around hero/spell button for Snowcone Burst.</t>
  </si>
  <si>
    <t>vfx_spl_snowcone_burst_impact</t>
  </si>
  <si>
    <t>Impact VFX: board/enemy effect showing result of Snowcone Burst.</t>
  </si>
  <si>
    <t>ico_spl_goblin_gadget</t>
  </si>
  <si>
    <t>Goblin Gadget spell icon. Must clearly communicate: Random helpful gadget effect with comic uncertainty.</t>
  </si>
  <si>
    <t>vfx_spl_goblin_gadget_cast</t>
  </si>
  <si>
    <t>Cast VFX: short readable effect around hero/spell button for Goblin Gadget.</t>
  </si>
  <si>
    <t>vfx_spl_goblin_gadget_impact</t>
  </si>
  <si>
    <t>Impact VFX: board/enemy effect showing result of Goblin Gadget.</t>
  </si>
  <si>
    <t>ico_spl_rainbow_reroll</t>
  </si>
  <si>
    <t>Rainbow Reroll spell icon. Must clearly communicate: Queue utility spell that rerolls piece/preview state.</t>
  </si>
  <si>
    <t>vfx_spl_rainbow_reroll_cast</t>
  </si>
  <si>
    <t>Cast VFX: short readable effect around hero/spell button for Rainbow Reroll.</t>
  </si>
  <si>
    <t>vfx_spl_rainbow_reroll_impact</t>
  </si>
  <si>
    <t>Impact VFX: board/enemy effect showing result of Rainbow Reroll.</t>
  </si>
  <si>
    <t>ico_spl_snack_break</t>
  </si>
  <si>
    <t>Snack Break spell icon. Must clearly communicate: Healing spell with cozy snack-time effect.</t>
  </si>
  <si>
    <t>vfx_spl_snack_break_cast</t>
  </si>
  <si>
    <t>Cast VFX: short readable effect around hero/spell button for Snack Break.</t>
  </si>
  <si>
    <t>vfx_spl_snack_break_impact</t>
  </si>
  <si>
    <t>Impact VFX: board/enemy effect showing result of Snack Break.</t>
  </si>
  <si>
    <t>ico_spl_cascade_cheer</t>
  </si>
  <si>
    <t>Cascade Cheer spell icon. Must clearly communicate: Combo support spell that boosts next cascade reward.</t>
  </si>
  <si>
    <t>vfx_spl_cascade_cheer_cast</t>
  </si>
  <si>
    <t>Cast VFX: short readable effect around hero/spell button for Cascade Cheer.</t>
  </si>
  <si>
    <t>vfx_spl_cascade_cheer_impact</t>
  </si>
  <si>
    <t>Impact VFX: board/enemy effect showing result of Cascade Cheer.</t>
  </si>
  <si>
    <t>ico_item_mini_cupcake</t>
  </si>
  <si>
    <t>icons/items/</t>
  </si>
  <si>
    <t>Mini Cupcake icon: small healing snack; icon should look instantly edible and friendly.</t>
  </si>
  <si>
    <t>ico_item_mana_lemonade</t>
  </si>
  <si>
    <t>Mana Lemonade icon: blue/yellow lemonade bottle for mana refill.</t>
  </si>
  <si>
    <t>ico_item_rainbow_soda</t>
  </si>
  <si>
    <t>Rainbow Soda icon: rainbow drink that fills Fever meter.</t>
  </si>
  <si>
    <t>ico_item_toolbox</t>
  </si>
  <si>
    <t>Toolbox icon: small red/yellow toolbox for removing junk blocks.</t>
  </si>
  <si>
    <t>ico_item_snowcone</t>
  </si>
  <si>
    <t>Snowcone icon: icy treat for slowing fall speed temporarily.</t>
  </si>
  <si>
    <t>ico_item_party_popper</t>
  </si>
  <si>
    <t>Party Popper icon: party popper that clears random cells.</t>
  </si>
  <si>
    <t>ico_item_bubble_gum</t>
  </si>
  <si>
    <t>Bubble Gum icon: pink bubble gum that grants shield.</t>
  </si>
  <si>
    <t>ico_item_lucky_ticket</t>
  </si>
  <si>
    <t>Lucky Ticket icon: festival ticket for rerolling rewards.</t>
  </si>
  <si>
    <t>ico_item_hold_coupon</t>
  </si>
  <si>
    <t>Hold Coupon icon: coupon/ticket for refreshing Hold block.</t>
  </si>
  <si>
    <t>ico_item_block_polish</t>
  </si>
  <si>
    <t>Block Polish icon: sparkly polish bottle that converts junk to normal block.</t>
  </si>
  <si>
    <t>ico_item_snack_vacuum</t>
  </si>
  <si>
    <t>Snack Vacuum icon: cute vacuum that removes junk blocks from chosen area.</t>
  </si>
  <si>
    <t>ico_item_festival_mop</t>
  </si>
  <si>
    <t>Festival Mop icon: mop with candy-water bucket that removes Sticky from row/column.</t>
  </si>
  <si>
    <t>ico_item_cloud_pin</t>
  </si>
  <si>
    <t>Cloud Pin icon: pin/clothespin that forces floating blocks to land safely.</t>
  </si>
  <si>
    <t>ico_item_snack_shield</t>
  </si>
  <si>
    <t>Snack Shield icon: snack tray shield that delays incoming junk.</t>
  </si>
  <si>
    <t>ico_item_return_stamp</t>
  </si>
  <si>
    <t>Return Stamp icon: rubber stamp that reflects incoming junk as enemy damage.</t>
  </si>
  <si>
    <t>ico_item_preview_glasses</t>
  </si>
  <si>
    <t>Preview Glasses icon: big silly glasses that reveal hidden Next/Hold preview.</t>
  </si>
  <si>
    <t>ico_item_hot_cocoa</t>
  </si>
  <si>
    <t>Hot Cocoa icon: warm mug that unfreezes active piece and restores small mana.</t>
  </si>
  <si>
    <t>ico_item_speed_brake</t>
  </si>
  <si>
    <t>Speed Brake icon: toy brake lever that slows fall speed spike.</t>
  </si>
  <si>
    <t>ico_item_tent_pole</t>
  </si>
  <si>
    <t>Tent Pole icon: festival tent pole that cancels Low Ceiling pressure.</t>
  </si>
  <si>
    <t>ico_item_safety_net</t>
  </si>
  <si>
    <t>Safety Net icon: emergency net that saves top-row overflow once.</t>
  </si>
  <si>
    <t>ico_item_balloon_pop</t>
  </si>
  <si>
    <t>Balloon Pop icon: risky pin/popper that removes floaters but creates later junk.</t>
  </si>
  <si>
    <t>ico_item_trash_lid</t>
  </si>
  <si>
    <t>Trash Lid icon: trash can lid shield that blocks half incoming junk.</t>
  </si>
  <si>
    <t>ico_item_queue_comb</t>
  </si>
  <si>
    <t>Queue Comb icon: comb tool to reorder next pieces.</t>
  </si>
  <si>
    <t>ico_item_nope_stamp</t>
  </si>
  <si>
    <t>Nope Stamp icon: stamp that deletes an enemy-injected bad piece.</t>
  </si>
  <si>
    <t>ico_item_alarm_cookie</t>
  </si>
  <si>
    <t>Alarm Cookie icon: loud cookie/bell snack that removes Sleepy.</t>
  </si>
  <si>
    <t>ico_item_royal_eraser</t>
  </si>
  <si>
    <t>Royal Eraser icon: fancy eraser that downgrades royal/pattern blocks.</t>
  </si>
  <si>
    <t>ico_item_block_polish_plus</t>
  </si>
  <si>
    <t>Deluxe Block Polish icon: stronger polish that converts junk or sticky into normal runes.</t>
  </si>
  <si>
    <t>ico_item_tiny_broom</t>
  </si>
  <si>
    <t>Tiny Broom icon: emergency broom that clears top occupied cells in a column.</t>
  </si>
  <si>
    <t>ico_item_sprinkle_shovel</t>
  </si>
  <si>
    <t>Sprinkle Shovel icon: small shovel that digs out one bottom-row cell.</t>
  </si>
  <si>
    <t>ico_item_goblin_wrench</t>
  </si>
  <si>
    <t>Goblin Wrench icon: wrench for breaking locked/frozen blocks.</t>
  </si>
  <si>
    <t>ico_item_jelly_sponge</t>
  </si>
  <si>
    <t>Jelly Sponge icon: sponge that stabilizes jelly/soft/wobbly blocks.</t>
  </si>
  <si>
    <t>ico_item_anchor_cookie</t>
  </si>
  <si>
    <t>Anchor Cookie icon: cookie-shaped anchor that makes next floating blocks spawn normally.</t>
  </si>
  <si>
    <t>ico_item_sky_hook</t>
  </si>
  <si>
    <t>Sky Hook icon: hook that pulls a floating block into Hold as a bonus piece.</t>
  </si>
  <si>
    <t>ico_item_cleanup_coupon</t>
  </si>
  <si>
    <t>Cleanup Coupon icon: risky coupon that cancels incoming junk if player clears a line soon.</t>
  </si>
  <si>
    <t>ico_item_crumby_compost</t>
  </si>
  <si>
    <t>Crumby Compost icon: compost bag that may convert incoming junk into sprinkle blocks.</t>
  </si>
  <si>
    <t>ico_item_hold_coupon_plus</t>
  </si>
  <si>
    <t>Deluxe Hold Coupon icon: upgraded coupon that refreshes Hold and allows extra hold.</t>
  </si>
  <si>
    <t>ico_item_rainbow_receipt</t>
  </si>
  <si>
    <t>Rainbow Receipt icon: receipt that rerolls active and Next piece.</t>
  </si>
  <si>
    <t>ico_item_piece_whistle</t>
  </si>
  <si>
    <t>Piece Whistle icon: whistle that calls a simple useful piece next.</t>
  </si>
  <si>
    <t>ico_item_warm_mittens</t>
  </si>
  <si>
    <t>Warm Mittens icon: mittens that prevent freeze for several pieces.</t>
  </si>
  <si>
    <t>ico_item_comfy_blanket</t>
  </si>
  <si>
    <t>Comfy Blanket icon: blanket that reduces damage while Sleepy is active.</t>
  </si>
  <si>
    <t>ico_item_sugar_socks</t>
  </si>
  <si>
    <t>Sugar Socks icon: socks that keep movement responsive during speed waves.</t>
  </si>
  <si>
    <t>ico_item_expanding_tablecloth</t>
  </si>
  <si>
    <t>Expanding Tablecloth icon: magic tablecloth that adds temporary board height.</t>
  </si>
  <si>
    <t>ico_item_pocket_ladder</t>
  </si>
  <si>
    <t>Pocket Ladder icon: ladder that moves selected column down if space exists.</t>
  </si>
  <si>
    <t>ico_item_corner_cutter</t>
  </si>
  <si>
    <t>Corner Cutter icon: scissors/cutter that clears awkward corner cluster.</t>
  </si>
  <si>
    <t>ico_item_firecracker_sugar</t>
  </si>
  <si>
    <t>Firecracker Sugar icon: spell catalyst for Fireball; next fire spell burns sticky/junk.</t>
  </si>
  <si>
    <t>ico_item_frosting_salt</t>
  </si>
  <si>
    <t>Frosting Salt icon: spell catalyst for Frost Lock; normalizes ice/freeze.</t>
  </si>
  <si>
    <t>ico_item_bomb_fuse</t>
  </si>
  <si>
    <t>Bomb Fuse icon: spell catalyst for Bomb Rune; increases radius.</t>
  </si>
  <si>
    <t>ico_item_star_syrup</t>
  </si>
  <si>
    <t>Star Syrup icon: spell catalyst for Star Spark; creates a star block.</t>
  </si>
  <si>
    <t>ico_item_cascade_confetti</t>
  </si>
  <si>
    <t>Cascade Confetti icon: spell catalyst for Cascade Cheer; doubles next Fever gain.</t>
  </si>
  <si>
    <t>ico_item_spell_coupon</t>
  </si>
  <si>
    <t>Spell Coupon icon: generic spell coupon; next spell costs less mana.</t>
  </si>
  <si>
    <t>ico_item_cleaning_charm</t>
  </si>
  <si>
    <t>Cleaning Charm icon: spell catalyst for Clean Cut; also removes junk/sticky.</t>
  </si>
  <si>
    <t>ico_item_mana_straw</t>
  </si>
  <si>
    <t>Mana Straw icon: utility catalyst that converts sprinkle blocks into mana.</t>
  </si>
  <si>
    <t>ico_rel_goblin_coin</t>
  </si>
  <si>
    <t>icons/relics/</t>
  </si>
  <si>
    <t>Goblin Coin relic icon: lucky goblin coin that increases gold gain. Should look like a collectible souvenir.</t>
  </si>
  <si>
    <t>ico_rel_lucky_cupcake</t>
  </si>
  <si>
    <t>Lucky Cupcake relic icon: cute cupcake charm that heals after boss. Should look like a collectible souvenir.</t>
  </si>
  <si>
    <t>ico_rel_sparkly_spoon</t>
  </si>
  <si>
    <t>Sparkly Spoon relic icon: shiny spoon relic that boosts line damage. Should look like a collectible souvenir.</t>
  </si>
  <si>
    <t>ico_rel_sticky_sticker</t>
  </si>
  <si>
    <t>Sticky Sticker relic icon: sticker relic that turns sticky clears into mana value. Should look like a collectible souvenir.</t>
  </si>
  <si>
    <t>ico_rel_confetti_popper</t>
  </si>
  <si>
    <t>Confetti Popper relic icon: party relic that may clear a random cell. Should look like a collectible souvenir.</t>
  </si>
  <si>
    <t>ico_rel_rainbow_ticket</t>
  </si>
  <si>
    <t>Rainbow Ticket relic icon: rare ticket granting extra reward choice. Should look like a collectible souvenir.</t>
  </si>
  <si>
    <t>ico_rel_tiny_toolbox</t>
  </si>
  <si>
    <t>Tiny Toolbox relic icon: small toolbox reducing bomb/gadget cost. Should look like a collectible souvenir.</t>
  </si>
  <si>
    <t>ico_rel_plush_helmet</t>
  </si>
  <si>
    <t>Plush Helmet relic icon: soft helmet that prevents lethal damage once. Should look like a collectible souvenir.</t>
  </si>
  <si>
    <t>ico_rel_snowflake_charm</t>
  </si>
  <si>
    <t>Snowflake Charm relic icon: icy charm strengthening frost spells. Should look like a collectible souvenir.</t>
  </si>
  <si>
    <t>ico_rel_star_cookie</t>
  </si>
  <si>
    <t>Star Cookie relic icon: star-shaped cookie increasing cascade damage. Should look like a collectible souvenir.</t>
  </si>
  <si>
    <t>ico_rel_bouncy_boots</t>
  </si>
  <si>
    <t>Bouncy Boots relic icon: boots that reward hard drops with mana. Should look like a collectible souvenir.</t>
  </si>
  <si>
    <t>ico_rel_arcade_token</t>
  </si>
  <si>
    <t>Arcade Token relic icon: arcade token that starts Fever partially filled. Should look like a collectible souvenir.</t>
  </si>
  <si>
    <t>ico_rel_recipe_card</t>
  </si>
  <si>
    <t>Recipe Card relic icon: recipe card for fire/candy spell synergy. Should look like a collectible souvenir.</t>
  </si>
  <si>
    <t>ico_rel_friendship_badge</t>
  </si>
  <si>
    <t>Friendship Badge relic icon: legendary badge that weakens monster attacks. Should look like a collectible souvenir.</t>
  </si>
  <si>
    <t>ico_rel_block_o_manual</t>
  </si>
  <si>
    <t>Block-O Manual relic icon: legendary manual that fixes or highlights a messy row once per battle. Should look like a collectible souvenir.</t>
  </si>
  <si>
    <t>ico_upg_clean_stack</t>
  </si>
  <si>
    <t>icons/upgrades/</t>
  </si>
  <si>
    <t>Clean Stack upgrade icon: board upgrade that slightly lowers fall speed. Use clear category visual language.</t>
  </si>
  <si>
    <t>ico_upg_sharp_sprinkles</t>
  </si>
  <si>
    <t>Sharp Sprinkles upgrade icon: damage upgrade for line clears. Use clear category visual language.</t>
  </si>
  <si>
    <t>ico_upg_extra_frosting</t>
  </si>
  <si>
    <t>Extra Frosting upgrade icon: defense upgrade that increases max HP. Use clear category visual language.</t>
  </si>
  <si>
    <t>ico_upg_mana_lemonade</t>
  </si>
  <si>
    <t>Mana Lemonade upgrade icon: mana upgrade that increases mana gain. Use clear category visual language.</t>
  </si>
  <si>
    <t>ico_upg_combo_cheer</t>
  </si>
  <si>
    <t>Combo Cheer upgrade icon: combo upgrade for cascade damage. Use clear category visual language.</t>
  </si>
  <si>
    <t>ico_upg_bigger_booms</t>
  </si>
  <si>
    <t>Bigger Booms upgrade icon: spell upgrade increasing Bomb Rune radius. Use clear category visual language.</t>
  </si>
  <si>
    <t>ico_upg_hotter_oven</t>
  </si>
  <si>
    <t>Hotter Oven upgrade icon: fire upgrade improving Fireball damage. Use clear category visual language.</t>
  </si>
  <si>
    <t>ico_upg_chill_zone</t>
  </si>
  <si>
    <t>Chill Zone upgrade icon: frost upgrade improving Frost Lock. Use clear category visual language.</t>
  </si>
  <si>
    <t>ico_upg_pocket_snack</t>
  </si>
  <si>
    <t>Pocket Snack upgrade icon: healing upgrade after each room. Use clear category visual language.</t>
  </si>
  <si>
    <t>ico_upg_bonus_preview</t>
  </si>
  <si>
    <t>Bonus Preview upgrade icon: board upgrade showing extra next block. Use clear category visual language.</t>
  </si>
  <si>
    <t>ico_upg_quick_hold</t>
  </si>
  <si>
    <t>Quick Hold upgrade icon: board upgrade reducing hold restrictions/cooldown. Use clear category visual language.</t>
  </si>
  <si>
    <t>ico_upg_inventory_pouch</t>
  </si>
  <si>
    <t>Inventory Pouch upgrade icon: inventory upgrade adding item slots. Use clear category visual language.</t>
  </si>
  <si>
    <t>ico_upg_lucky_roll</t>
  </si>
  <si>
    <t>Lucky Roll upgrade icon: reward upgrade adding reroll support. Use clear category visual language.</t>
  </si>
  <si>
    <t>ico_upg_festival_fever</t>
  </si>
  <si>
    <t>Festival Fever upgrade icon: fever upgrade increasing Fever gain. Use clear category visual language.</t>
  </si>
  <si>
    <t>ico_upg_smooth_cascade</t>
  </si>
  <si>
    <t>Smooth Cascade upgrade icon: cascade upgrade increasing mana from cascades. Use clear category visual language.</t>
  </si>
  <si>
    <t>ico_wpn_basic_wand</t>
  </si>
  <si>
    <t>icons/weapons/</t>
  </si>
  <si>
    <t>Basic Wand weapon icon: starter wand with simple wooden/magic rune design.</t>
  </si>
  <si>
    <t>spr_wpn_basic_wand_small</t>
  </si>
  <si>
    <t>sprites/weapons/</t>
  </si>
  <si>
    <t>Basic Wand small in-battle weapon sprite or hero overlay: starter wand with simple wooden/magic rune design.</t>
  </si>
  <si>
    <t>ico_wpn_lemonade_wand</t>
  </si>
  <si>
    <t>Lemonade Wand weapon icon: wand with lemonade cup/bottle motif for mana gain.</t>
  </si>
  <si>
    <t>spr_wpn_lemonade_wand_small</t>
  </si>
  <si>
    <t>Lemonade Wand small in-battle weapon sprite or hero overlay: wand with lemonade cup/bottle motif for mana gain.</t>
  </si>
  <si>
    <t>ico_wpn_cookie_spatula</t>
  </si>
  <si>
    <t>Cookie Spatula weapon icon: baker spatula weapon for fire/cookie theme.</t>
  </si>
  <si>
    <t>spr_wpn_cookie_spatula_small</t>
  </si>
  <si>
    <t>Cookie Spatula small in-battle weapon sprite or hero overlay: baker spatula weapon for fire/cookie theme.</t>
  </si>
  <si>
    <t>ico_wpn_snowcone_staff</t>
  </si>
  <si>
    <t>Snowcone Staff weapon icon: icy staff with snowcone top for frost effects.</t>
  </si>
  <si>
    <t>spr_wpn_snowcone_staff_small</t>
  </si>
  <si>
    <t>Snowcone Staff small in-battle weapon sprite or hero overlay: icy staff with snowcone top for frost effects.</t>
  </si>
  <si>
    <t>ico_wpn_spring_hammer</t>
  </si>
  <si>
    <t>Spring Hammer weapon icon: goblin spring hammer for hard-drop damage.</t>
  </si>
  <si>
    <t>spr_wpn_spring_hammer_small</t>
  </si>
  <si>
    <t>Spring Hammer small in-battle weapon sprite or hero overlay: goblin spring hammer for hard-drop damage.</t>
  </si>
  <si>
    <t>ico_wpn_confetti_cannon</t>
  </si>
  <si>
    <t>Confetti Cannon weapon icon: party cannon gadget that suggests bomb/confetti chance.</t>
  </si>
  <si>
    <t>spr_wpn_confetti_cannon_small</t>
  </si>
  <si>
    <t>Confetti Cannon small in-battle weapon sprite or hero overlay: party cannon gadget that suggests bomb/confetti chance.</t>
  </si>
  <si>
    <t>ico_wpn_star_scepter</t>
  </si>
  <si>
    <t>Star Scepter weapon icon: starry scepter for cascade damage.</t>
  </si>
  <si>
    <t>spr_wpn_star_scepter_small</t>
  </si>
  <si>
    <t>Star Scepter small in-battle weapon sprite or hero overlay: starry scepter for cascade damage.</t>
  </si>
  <si>
    <t>ico_wpn_goblin_multitool</t>
  </si>
  <si>
    <t>Goblin Multitool weapon icon: messy multitool for junk/bomb manipulation.</t>
  </si>
  <si>
    <t>spr_wpn_goblin_multitool_small</t>
  </si>
  <si>
    <t>Goblin Multitool small in-battle weapon sprite or hero overlay: messy multitool for junk/bomb manipulation.</t>
  </si>
  <si>
    <t>ico_wpn_plush_lance</t>
  </si>
  <si>
    <t>Plush Lance weapon icon: soft toy lance for shield/defense.</t>
  </si>
  <si>
    <t>spr_wpn_plush_lance_small</t>
  </si>
  <si>
    <t>Plush Lance small in-battle weapon sprite or hero overlay: soft toy lance for shield/defense.</t>
  </si>
  <si>
    <t>ico_wpn_arcade_blaster</t>
  </si>
  <si>
    <t>Arcade Blaster weapon icon: neon arcade blaster for Fever gain.</t>
  </si>
  <si>
    <t>spr_wpn_arcade_blaster_small</t>
  </si>
  <si>
    <t>Arcade Blaster small in-battle weapon sprite or hero overlay: neon arcade blaster for Fever gain.</t>
  </si>
  <si>
    <t>ico_status_sugar_rush</t>
  </si>
  <si>
    <t>icons/statuses/</t>
  </si>
  <si>
    <t>Sugar Rush status icon: speed/action boost icon, candy lightning style. Keep readable at small HUD size.</t>
  </si>
  <si>
    <t>ico_status_sticky</t>
  </si>
  <si>
    <t>Sticky status icon: goo/sticky status icon. Keep readable at small HUD size.</t>
  </si>
  <si>
    <t>ico_status_chilled</t>
  </si>
  <si>
    <t>Chilled status icon: snowflake/cold status icon. Keep readable at small HUD size.</t>
  </si>
  <si>
    <t>ico_status_sleepy</t>
  </si>
  <si>
    <t>Sleepy status icon: sleep bubble/z icon. Keep readable at small HUD size.</t>
  </si>
  <si>
    <t>ico_status_dizzy</t>
  </si>
  <si>
    <t>Dizzy status icon: spiral stars icon. Keep readable at small HUD size.</t>
  </si>
  <si>
    <t>ico_status_sparkly</t>
  </si>
  <si>
    <t>Sparkly status icon: extra mana sparkle icon. Keep readable at small HUD size.</t>
  </si>
  <si>
    <t>ico_status_bubbled</t>
  </si>
  <si>
    <t>Bubbled status icon: shield bubble icon. Keep readable at small HUD size.</t>
  </si>
  <si>
    <t>ico_status_confetti</t>
  </si>
  <si>
    <t>Confetti status icon: random party bonus icon. Keep readable at small HUD size.</t>
  </si>
  <si>
    <t>ico_status_snack_boost</t>
  </si>
  <si>
    <t>Snack Boost status icon: snack/heal-over-time icon. Keep readable at small HUD size.</t>
  </si>
  <si>
    <t>ico_status_overclocked</t>
  </si>
  <si>
    <t>Overclocked status icon: machine speed/junk reward icon. Keep readable at small HUD size.</t>
  </si>
  <si>
    <t>ico_oops_heavy_blocks</t>
  </si>
  <si>
    <t>icons/oopsies/</t>
  </si>
  <si>
    <t>Heavy Blocks Oopsie icon: fall speed drawback; heavy block/weight icon. Must feel silly, not cursed/dark.</t>
  </si>
  <si>
    <t>ico_oops_slippery_buttons</t>
  </si>
  <si>
    <t>Slippery Buttons Oopsie icon: input delay drawback; slippery button icon. Must feel silly, not cursed/dark.</t>
  </si>
  <si>
    <t>ico_oops_too_much_confetti</t>
  </si>
  <si>
    <t>Too Much Confetti Oopsie icon: preview flashing drawback; confetti cloud icon. Must feel silly, not cursed/dark.</t>
  </si>
  <si>
    <t>ico_oops_snack_tax</t>
  </si>
  <si>
    <t>Snack Tax Oopsie icon: shop price drawback; snack coin/tax icon. Must feel silly, not cursed/dark.</t>
  </si>
  <si>
    <t>ico_oops_sticky_floor</t>
  </si>
  <si>
    <t>Sticky Floor Oopsie icon: more sticky blocks drawback; syrup floor icon. Must feel silly, not cursed/dark.</t>
  </si>
  <si>
    <t>ico_oops_overexcited_machine</t>
  </si>
  <si>
    <t>Overexcited Machine Oopsie icon: more junk/better rewards drawback; excited machine icon. Must feel silly, not cursed/dark.</t>
  </si>
  <si>
    <t>ico_oops_square_only</t>
  </si>
  <si>
    <t>Square Only Oopsie icon: pattern challenge drawback; square-only icon. Must feel silly, not cursed/dark.</t>
  </si>
  <si>
    <t>ico_oops_sugar_crash</t>
  </si>
  <si>
    <t>Sugar Crash Oopsie icon: mana gain drawback after spell spam; broken candy icon. Must feel silly, not cursed/dark.</t>
  </si>
  <si>
    <t>ico_chaos_sprinkle_storm</t>
  </si>
  <si>
    <t>icons/events/</t>
  </si>
  <si>
    <t>Sprinkle Storm chaos-rule icon: chaos rule with sprinkle rain.</t>
  </si>
  <si>
    <t>ico_chaos_wobbly_floor</t>
  </si>
  <si>
    <t>Wobbly Floor chaos-rule icon: chaos rule with shaky floor.</t>
  </si>
  <si>
    <t>ico_chaos_snack_tax</t>
  </si>
  <si>
    <t>Snack Tax chaos-rule icon: chaos rule with temporary shop/economy pressure.</t>
  </si>
  <si>
    <t>ico_chaos_confetti_fever</t>
  </si>
  <si>
    <t>Confetti Fever chaos-rule icon: chaos rule with party randomness/fever.</t>
  </si>
  <si>
    <t>ico_chaos_goblin_safety_test</t>
  </si>
  <si>
    <t>Goblin Safety Test chaos-rule icon: chaos rule with questionable workshop hazard.</t>
  </si>
  <si>
    <t>ico_chaos_freezer_draft</t>
  </si>
  <si>
    <t>Freezer Draft chaos-rule icon: chaos rule with cold/freeze pressure.</t>
  </si>
  <si>
    <t>ico_chaos_royal_inspection</t>
  </si>
  <si>
    <t>Royal Inspection chaos-rule icon: chaos rule with Bloxley pattern/symmetry pressure.</t>
  </si>
  <si>
    <t>ico_chaos_jelly_bounce</t>
  </si>
  <si>
    <t>Jelly Bounce chaos-rule icon: chaos rule with wobbly/jelly block movement.</t>
  </si>
  <si>
    <t>ico_obj_trigger_cascade</t>
  </si>
  <si>
    <t>icons/objectives/</t>
  </si>
  <si>
    <t>Trigger Cascade: mini-objective icon for making at least one cascade.</t>
  </si>
  <si>
    <t>ico_obj_clear_two_lines</t>
  </si>
  <si>
    <t>Clear Two Lines: mini-objective icon for clearing two lines at once.</t>
  </si>
  <si>
    <t>ico_obj_clear_sprinkles</t>
  </si>
  <si>
    <t>Clear Sprinkles: mini-objective icon for clearing sprinkle blocks.</t>
  </si>
  <si>
    <t>ico_obj_destroy_junk</t>
  </si>
  <si>
    <t>Destroy Junk: mini-objective icon for cleaning all junk.</t>
  </si>
  <si>
    <t>ico_obj_no_spell_win</t>
  </si>
  <si>
    <t>No Spell Win: mini-objective icon for winning without spells.</t>
  </si>
  <si>
    <t>ico_obj_fast_win</t>
  </si>
  <si>
    <t>Fast Win: mini-objective icon for winning before enemy acts several times.</t>
  </si>
  <si>
    <t>ico_obj_use_hold</t>
  </si>
  <si>
    <t>Use Hold: mini-objective icon for using hold piece.</t>
  </si>
  <si>
    <t>ico_obj_cast_two_spells</t>
  </si>
  <si>
    <t>Cast Two Spells: mini-objective icon for casting two spells.</t>
  </si>
  <si>
    <t>ico_obj_low_board</t>
  </si>
  <si>
    <t>Low Board: mini-objective icon for keeping board height low.</t>
  </si>
  <si>
    <t>ico_obj_trigger_fever</t>
  </si>
  <si>
    <t>Trigger Fever: mini-objective icon for activating fever.</t>
  </si>
  <si>
    <t>ico_evt_suspicious_button</t>
  </si>
  <si>
    <t>Suspicious Button: event icon: big red button with warning label.</t>
  </si>
  <si>
    <t>ico_evt_lost_cake_cart</t>
  </si>
  <si>
    <t>Lost Cake Cart: event icon: cake cart with missing snacks.</t>
  </si>
  <si>
    <t>ico_evt_goblin_quality_test</t>
  </si>
  <si>
    <t>Goblin Quality Test: event icon: goblin gadget test clipboard.</t>
  </si>
  <si>
    <t>ico_evt_rainbow_fountain</t>
  </si>
  <si>
    <t>Rainbow Fountain: event icon: rainbow fountain with magic water.</t>
  </si>
  <si>
    <t>ico_evt_sleepy_guard</t>
  </si>
  <si>
    <t>Sleepy Guard: event icon: guard sleeping by key.</t>
  </si>
  <si>
    <t>ico_evt_arcade_challenge</t>
  </si>
  <si>
    <t>Arcade Challenge: event icon: arcade cabinet/ticket.</t>
  </si>
  <si>
    <t>ico_evt_block_o_manual_page</t>
  </si>
  <si>
    <t>Manual Page: event icon: Block-O-Matic manual page.</t>
  </si>
  <si>
    <t>ico_evt_friendship_slime</t>
  </si>
  <si>
    <t>Friendship Slime: event icon: friendly slime with snack.</t>
  </si>
  <si>
    <t>ico_r_evt_jelly_surge</t>
  </si>
  <si>
    <t>Jelly Surge: random battle event icon: wobbly jelly burst.</t>
  </si>
  <si>
    <t>ico_r_evt_sprinkle_rain</t>
  </si>
  <si>
    <t>Sprinkle Rain: random battle event icon: sprinkles falling.</t>
  </si>
  <si>
    <t>ico_r_evt_sticky_spill</t>
  </si>
  <si>
    <t>Sticky Spill: random battle event icon: syrup spill.</t>
  </si>
  <si>
    <t>ico_r_evt_lost_cake_alarm</t>
  </si>
  <si>
    <t>Lost Cake Alarm: random battle event icon: cake alarm bell.</t>
  </si>
  <si>
    <t>ico_r_evt_goblin_miswire</t>
  </si>
  <si>
    <t>Goblin Miswire: random battle event icon: crossed wires.</t>
  </si>
  <si>
    <t>ico_r_evt_button_panic</t>
  </si>
  <si>
    <t>Button Panic: random battle event icon: many buttons.</t>
  </si>
  <si>
    <t>ico_r_evt_bomb_delivery</t>
  </si>
  <si>
    <t>Bomb Delivery: random battle event icon: delivered toy bomb.</t>
  </si>
  <si>
    <t>ico_r_evt_freezer_draft</t>
  </si>
  <si>
    <t>Freezer Draft: random battle event icon: cold wind.</t>
  </si>
  <si>
    <t>ico_r_evt_ice_slide</t>
  </si>
  <si>
    <t>Ice Slide: random battle event icon: sliding ice tile.</t>
  </si>
  <si>
    <t>ico_r_evt_sleepy_moment</t>
  </si>
  <si>
    <t>Sleepy Moment: random battle event icon: sleepy cloud.</t>
  </si>
  <si>
    <t>ico_r_evt_blanket_tangle</t>
  </si>
  <si>
    <t>Blanket Tangle: random battle event icon: tangled blanket.</t>
  </si>
  <si>
    <t>ico_r_evt_arcade_combo_callout</t>
  </si>
  <si>
    <t>Arcade Combo Callout: random battle event icon: combo sign.</t>
  </si>
  <si>
    <t>ico_r_evt_prize_claw_grab</t>
  </si>
  <si>
    <t>Prize Claw Grab: random battle event icon: claw grabbing block.</t>
  </si>
  <si>
    <t>ico_r_evt_neon_flash</t>
  </si>
  <si>
    <t>Neon Flash: random battle event icon: flashing neon.</t>
  </si>
  <si>
    <t>ico_r_evt_royal_decree_square</t>
  </si>
  <si>
    <t>Royal Decree Square: random battle event icon: royal square decree.</t>
  </si>
  <si>
    <t>ico_r_evt_symmetry_check</t>
  </si>
  <si>
    <t>Symmetry Check: random battle event icon: mirrored blocks.</t>
  </si>
  <si>
    <t>ico_r_evt_confetti_overload</t>
  </si>
  <si>
    <t>Confetti Overload: random battle event icon: confetti blast.</t>
  </si>
  <si>
    <t>ico_r_evt_manual_page_tip</t>
  </si>
  <si>
    <t>Manual Page Tip: random battle event icon: helpful manual page.</t>
  </si>
  <si>
    <t>ico_r_evt_snack_break</t>
  </si>
  <si>
    <t>Snack Break: random battle event icon: snack pause.</t>
  </si>
  <si>
    <t>ico_r_evt_machine_hiccup</t>
  </si>
  <si>
    <t>Machine Hiccup: random battle event icon: hiccuping machine.</t>
  </si>
  <si>
    <t>Rule-card icon for Cupcake Slime King; represent the boss mechanic in one clear symbol.</t>
  </si>
  <si>
    <t>Rule-card icon for Prototype No. 7; represent the boss mechanic in one clear symbol.</t>
  </si>
  <si>
    <t>Rule-card icon for Gelato Golem; represent the boss mechanic in one clear symbol.</t>
  </si>
  <si>
    <t>Rule-card icon for Sir Snore-a-Lot; represent the boss mechanic in one clear symbol.</t>
  </si>
  <si>
    <t>Rule-card icon for High Score Hydra; represent the boss mechanic in one clear symbol.</t>
  </si>
  <si>
    <t>Rule-card icon for King Bloxley; represent the boss mechanic in one clear symbol.</t>
  </si>
  <si>
    <t>ico_currency_gold</t>
  </si>
  <si>
    <t>icons/currencies/</t>
  </si>
  <si>
    <t>Gold currency icon: main shop currency; coin icon with cheerful shine.</t>
  </si>
  <si>
    <t>ico_currency_sprinkles</t>
  </si>
  <si>
    <t>Sprinkles currency icon: upgrade/cosmetic currency; candy sprinkles icon.</t>
  </si>
  <si>
    <t>ico_currency_tickets</t>
  </si>
  <si>
    <t>Festival Tickets currency icon: meta unlock/arcade currency; ticket icon.</t>
  </si>
  <si>
    <t>ico_currency_stars</t>
  </si>
  <si>
    <t>Star Tokens currency icon: rare unlock currency; star token icon.</t>
  </si>
  <si>
    <t>ico_collectible_lost_cake</t>
  </si>
  <si>
    <t>icons/collectibles/</t>
  </si>
  <si>
    <t>Lost Cake collectible icon: true-ending cake collectible; small rescued cake icon.</t>
  </si>
  <si>
    <t>ico_collectible_manual_page</t>
  </si>
  <si>
    <t>Manual Page collectible icon: tutorial/lore collectible; paper page icon.</t>
  </si>
  <si>
    <t>ico_collectible_friendship_badge</t>
  </si>
  <si>
    <t>Friendship Badge collectible icon: monster friendship collectible; badge/heart icon.</t>
  </si>
  <si>
    <t>ico_collectible_arcade_token</t>
  </si>
  <si>
    <t>Arcade Token collectible icon: arcade collectible; neon token icon.</t>
  </si>
  <si>
    <t>spr_hub_cake_stall_level_0</t>
  </si>
  <si>
    <t>sprites/hub/</t>
  </si>
  <si>
    <t>Cake Stall building level 0; show visible upgrade progression. Direction: festival booth for cake restoration/progression.</t>
  </si>
  <si>
    <t>spr_hub_cake_stall_level_1</t>
  </si>
  <si>
    <t>Cake Stall building level 1; show visible upgrade progression. Direction: festival booth for cake restoration/progression.</t>
  </si>
  <si>
    <t>spr_hub_cake_stall_level_2</t>
  </si>
  <si>
    <t>Cake Stall building level 2; show visible upgrade progression. Direction: festival booth for cake restoration/progression.</t>
  </si>
  <si>
    <t>spr_hub_cake_stall_level_3</t>
  </si>
  <si>
    <t>Cake Stall building level 3; show visible upgrade progression. Direction: festival booth for cake restoration/progression.</t>
  </si>
  <si>
    <t>ico_hub_cake_stall</t>
  </si>
  <si>
    <t>icons/hub/</t>
  </si>
  <si>
    <t>Cake Stall hub icon for menu/building upgrade UI.</t>
  </si>
  <si>
    <t>spr_hub_ice_cream_cart_level_0</t>
  </si>
  <si>
    <t>Ice Cream Cart building level 0; show visible upgrade progression. Direction: Nixie-style cart for frost/heal upgrades.</t>
  </si>
  <si>
    <t>spr_hub_ice_cream_cart_level_1</t>
  </si>
  <si>
    <t>Ice Cream Cart building level 1; show visible upgrade progression. Direction: Nixie-style cart for frost/heal upgrades.</t>
  </si>
  <si>
    <t>spr_hub_ice_cream_cart_level_2</t>
  </si>
  <si>
    <t>Ice Cream Cart building level 2; show visible upgrade progression. Direction: Nixie-style cart for frost/heal upgrades.</t>
  </si>
  <si>
    <t>spr_hub_ice_cream_cart_level_3</t>
  </si>
  <si>
    <t>Ice Cream Cart building level 3; show visible upgrade progression. Direction: Nixie-style cart for frost/heal upgrades.</t>
  </si>
  <si>
    <t>ico_hub_ice_cream_cart</t>
  </si>
  <si>
    <t>Ice Cream Cart hub icon for menu/building upgrade UI.</t>
  </si>
  <si>
    <t>spr_hub_goblin_workshop_level_0</t>
  </si>
  <si>
    <t>Goblin Workshop building level 0; show visible upgrade progression. Direction: gadget booth with tools and machines.</t>
  </si>
  <si>
    <t>spr_hub_goblin_workshop_level_1</t>
  </si>
  <si>
    <t>Goblin Workshop building level 1; show visible upgrade progression. Direction: gadget booth with tools and machines.</t>
  </si>
  <si>
    <t>spr_hub_goblin_workshop_level_2</t>
  </si>
  <si>
    <t>Goblin Workshop building level 2; show visible upgrade progression. Direction: gadget booth with tools and machines.</t>
  </si>
  <si>
    <t>spr_hub_goblin_workshop_level_3</t>
  </si>
  <si>
    <t>Goblin Workshop building level 3; show visible upgrade progression. Direction: gadget booth with tools and machines.</t>
  </si>
  <si>
    <t>ico_hub_goblin_workshop</t>
  </si>
  <si>
    <t>Goblin Workshop hub icon for menu/building upgrade UI.</t>
  </si>
  <si>
    <t>spr_hub_arcade_booth_level_0</t>
  </si>
  <si>
    <t>Arcade Booth building level 0; show visible upgrade progression. Direction: Starfall arcade booth for tickets/fever/meta.</t>
  </si>
  <si>
    <t>spr_hub_arcade_booth_level_1</t>
  </si>
  <si>
    <t>Arcade Booth building level 1; show visible upgrade progression. Direction: Starfall arcade booth for tickets/fever/meta.</t>
  </si>
  <si>
    <t>spr_hub_arcade_booth_level_2</t>
  </si>
  <si>
    <t>Arcade Booth building level 2; show visible upgrade progression. Direction: Starfall arcade booth for tickets/fever/meta.</t>
  </si>
  <si>
    <t>spr_hub_arcade_booth_level_3</t>
  </si>
  <si>
    <t>Arcade Booth building level 3; show visible upgrade progression. Direction: Starfall arcade booth for tickets/fever/meta.</t>
  </si>
  <si>
    <t>ico_hub_arcade_booth</t>
  </si>
  <si>
    <t>Arcade Booth hub icon for menu/building upgrade UI.</t>
  </si>
  <si>
    <t>spr_hub_snack_table_level_0</t>
  </si>
  <si>
    <t>Snack Table building level 0; show visible upgrade progression. Direction: snack progression booth for healing/defense.</t>
  </si>
  <si>
    <t>spr_hub_snack_table_level_1</t>
  </si>
  <si>
    <t>Snack Table building level 1; show visible upgrade progression. Direction: snack progression booth for healing/defense.</t>
  </si>
  <si>
    <t>spr_hub_snack_table_level_2</t>
  </si>
  <si>
    <t>Snack Table building level 2; show visible upgrade progression. Direction: snack progression booth for healing/defense.</t>
  </si>
  <si>
    <t>spr_hub_snack_table_level_3</t>
  </si>
  <si>
    <t>Snack Table building level 3; show visible upgrade progression. Direction: snack progression booth for healing/defense.</t>
  </si>
  <si>
    <t>ico_hub_snack_table</t>
  </si>
  <si>
    <t>Snack Table hub icon for menu/building upgrade UI.</t>
  </si>
  <si>
    <t>spr_hub_star_lantern_stage_level_0</t>
  </si>
  <si>
    <t>Star Lantern Stage building level 0; show visible upgrade progression. Direction: festival stage for story/cascade/star upgrades.</t>
  </si>
  <si>
    <t>spr_hub_star_lantern_stage_level_1</t>
  </si>
  <si>
    <t>Star Lantern Stage building level 1; show visible upgrade progression. Direction: festival stage for story/cascade/star upgrades.</t>
  </si>
  <si>
    <t>spr_hub_star_lantern_stage_level_2</t>
  </si>
  <si>
    <t>Star Lantern Stage building level 2; show visible upgrade progression. Direction: festival stage for story/cascade/star upgrades.</t>
  </si>
  <si>
    <t>spr_hub_star_lantern_stage_level_3</t>
  </si>
  <si>
    <t>Star Lantern Stage building level 3; show visible upgrade progression. Direction: festival stage for story/cascade/star upgrades.</t>
  </si>
  <si>
    <t>ico_hub_star_lantern_stage</t>
  </si>
  <si>
    <t>Star Lantern Stage hub icon for menu/building upgrade UI.</t>
  </si>
  <si>
    <t>spr_hub_repair_tent_level_0</t>
  </si>
  <si>
    <t>Repair Tent building level 0; show visible upgrade progression. Direction: upgrade station with repair sprites.</t>
  </si>
  <si>
    <t>spr_hub_repair_tent_level_1</t>
  </si>
  <si>
    <t>Repair Tent building level 1; show visible upgrade progression. Direction: upgrade station with repair sprites.</t>
  </si>
  <si>
    <t>spr_hub_repair_tent_level_2</t>
  </si>
  <si>
    <t>Repair Tent building level 2; show visible upgrade progression. Direction: upgrade station with repair sprites.</t>
  </si>
  <si>
    <t>spr_hub_repair_tent_level_3</t>
  </si>
  <si>
    <t>Repair Tent building level 3; show visible upgrade progression. Direction: upgrade station with repair sprites.</t>
  </si>
  <si>
    <t>ico_hub_repair_tent</t>
  </si>
  <si>
    <t>Repair Tent hub icon for menu/building upgrade UI.</t>
  </si>
  <si>
    <t>spr_hub_bloxley_statue_level_0</t>
  </si>
  <si>
    <t>Bloxley Statue building level 0; show visible upgrade progression. Direction: postgame/royal progression decoration.</t>
  </si>
  <si>
    <t>spr_hub_bloxley_statue_level_1</t>
  </si>
  <si>
    <t>Bloxley Statue building level 1; show visible upgrade progression. Direction: postgame/royal progression decoration.</t>
  </si>
  <si>
    <t>spr_hub_bloxley_statue_level_2</t>
  </si>
  <si>
    <t>Bloxley Statue building level 2; show visible upgrade progression. Direction: postgame/royal progression decoration.</t>
  </si>
  <si>
    <t>spr_hub_bloxley_statue_level_3</t>
  </si>
  <si>
    <t>Bloxley Statue building level 3; show visible upgrade progression. Direction: postgame/royal progression decoration.</t>
  </si>
  <si>
    <t>ico_hub_bloxley_statue</t>
  </si>
  <si>
    <t>Bloxley Statue hub icon for menu/building upgrade UI.</t>
  </si>
  <si>
    <t>ui_panel_default</t>
  </si>
  <si>
    <t>ui/panels/</t>
  </si>
  <si>
    <t>Default chunky pixel panel for common UI.</t>
  </si>
  <si>
    <t>ui_panel_battle</t>
  </si>
  <si>
    <t>Battle HUD panel frame, compact and mobile-readable.</t>
  </si>
  <si>
    <t>ui_panel_reward</t>
  </si>
  <si>
    <t>Reward screen panel with card slots and sparkle trim.</t>
  </si>
  <si>
    <t>ui_panel_shop</t>
  </si>
  <si>
    <t>Shop panel with merchant-friendly trim and price readability.</t>
  </si>
  <si>
    <t>ui_panel_event</t>
  </si>
  <si>
    <t>Event choice panel with flexible text area.</t>
  </si>
  <si>
    <t>ui_panel_dialogue</t>
  </si>
  <si>
    <t>Dialogue box panel with portrait slot and skip affordance.</t>
  </si>
  <si>
    <t>ui_panel_settings</t>
  </si>
  <si>
    <t>Settings panel with simple rows/toggles.</t>
  </si>
  <si>
    <t>ui_panel_inventory_compact</t>
  </si>
  <si>
    <t>Small inventory overlay panel for portrait battle board.</t>
  </si>
  <si>
    <t>ui_panel_inventory_expanded</t>
  </si>
  <si>
    <t>Expanded inventory panel for item descriptions and use.</t>
  </si>
  <si>
    <t>ui_panel_boss_rule</t>
  </si>
  <si>
    <t>Boss rule card panel with warning/title/tip areas.</t>
  </si>
  <si>
    <t>ui_panel_tutorial_tip</t>
  </si>
  <si>
    <t>Tutorial tip bubble/panel for first-run guidance.</t>
  </si>
  <si>
    <t>ui_frame_portrait_mobile</t>
  </si>
  <si>
    <t>ui/frames/</t>
  </si>
  <si>
    <t>Outer portrait-frame decoration for desktop preview/mobile safe area.</t>
  </si>
  <si>
    <t>ui_frame_card_common</t>
  </si>
  <si>
    <t>Common rarity reward card frame.</t>
  </si>
  <si>
    <t>ui_frame_card_uncommon</t>
  </si>
  <si>
    <t>Uncommon rarity reward card frame.</t>
  </si>
  <si>
    <t>ui_frame_card_rare</t>
  </si>
  <si>
    <t>Rare rarity reward card frame.</t>
  </si>
  <si>
    <t>ui_frame_card_legendary</t>
  </si>
  <si>
    <t>Legendary reward card frame with clear premium feel.</t>
  </si>
  <si>
    <t>ui_button_primary_idle</t>
  </si>
  <si>
    <t>ui/buttons/</t>
  </si>
  <si>
    <t>Primary button idle state; bright and readable.</t>
  </si>
  <si>
    <t>ui_button_primary_pressed</t>
  </si>
  <si>
    <t>Primary button pressed state; clear tactile feedback.</t>
  </si>
  <si>
    <t>ui_button_primary_disabled</t>
  </si>
  <si>
    <t>Primary disabled state; muted but still legible.</t>
  </si>
  <si>
    <t>ui_button_secondary_idle</t>
  </si>
  <si>
    <t>Secondary button idle state.</t>
  </si>
  <si>
    <t>ui_button_secondary_pressed</t>
  </si>
  <si>
    <t>Secondary button pressed state.</t>
  </si>
  <si>
    <t>ui_button_secondary_disabled</t>
  </si>
  <si>
    <t>Secondary disabled state.</t>
  </si>
  <si>
    <t>ui_button_danger_idle</t>
  </si>
  <si>
    <t>Danger/risky action button idle state, still playful.</t>
  </si>
  <si>
    <t>ui_button_danger_pressed</t>
  </si>
  <si>
    <t>Danger/risky action button pressed state.</t>
  </si>
  <si>
    <t>ui_button_icon_idle</t>
  </si>
  <si>
    <t>Small icon-only button idle state.</t>
  </si>
  <si>
    <t>ui_button_icon_pressed</t>
  </si>
  <si>
    <t>Small icon-only button pressed state.</t>
  </si>
  <si>
    <t>ui_button_close</t>
  </si>
  <si>
    <t>Close/X button for panels.</t>
  </si>
  <si>
    <t>ui_button_back</t>
  </si>
  <si>
    <t>Back button for menus/scenes.</t>
  </si>
  <si>
    <t>ui_button_confirm</t>
  </si>
  <si>
    <t>Confirm/check button for choices.</t>
  </si>
  <si>
    <t>ui_button_skip</t>
  </si>
  <si>
    <t>Skip button for tutorial/dialogue.</t>
  </si>
  <si>
    <t>ui_control_left_idle</t>
  </si>
  <si>
    <t>ui/controls/</t>
  </si>
  <si>
    <t>Mobile left control idle state.</t>
  </si>
  <si>
    <t>ui_control_left_pressed</t>
  </si>
  <si>
    <t>Mobile left control pressed state.</t>
  </si>
  <si>
    <t>ui_control_right_idle</t>
  </si>
  <si>
    <t>Mobile right control idle state.</t>
  </si>
  <si>
    <t>ui_control_right_pressed</t>
  </si>
  <si>
    <t>Mobile right control pressed state.</t>
  </si>
  <si>
    <t>ui_control_rotate_idle</t>
  </si>
  <si>
    <t>Mobile rotate control idle state.</t>
  </si>
  <si>
    <t>ui_control_rotate_pressed</t>
  </si>
  <si>
    <t>Mobile rotate control pressed state.</t>
  </si>
  <si>
    <t>ui_control_soft_drop_idle</t>
  </si>
  <si>
    <t>Mobile soft-drop control idle state.</t>
  </si>
  <si>
    <t>ui_control_soft_drop_pressed</t>
  </si>
  <si>
    <t>Mobile soft-drop control pressed state.</t>
  </si>
  <si>
    <t>ui_control_hard_drop_idle</t>
  </si>
  <si>
    <t>Mobile hard-drop control idle state.</t>
  </si>
  <si>
    <t>ui_control_hard_drop_pressed</t>
  </si>
  <si>
    <t>Mobile hard-drop control pressed state.</t>
  </si>
  <si>
    <t>ui_control_hold_idle</t>
  </si>
  <si>
    <t>Mobile hold control idle state.</t>
  </si>
  <si>
    <t>ui_control_hold_pressed</t>
  </si>
  <si>
    <t>Mobile hold control pressed state.</t>
  </si>
  <si>
    <t>ui_control_inventory_idle</t>
  </si>
  <si>
    <t>Mobile inventory control idle state.</t>
  </si>
  <si>
    <t>ui_control_inventory_pressed</t>
  </si>
  <si>
    <t>Mobile inventory control pressed state.</t>
  </si>
  <si>
    <t>ui_hud_hp_bar_bg</t>
  </si>
  <si>
    <t>ui/hud/</t>
  </si>
  <si>
    <t>HP bar background track.</t>
  </si>
  <si>
    <t>ui_hud_hp_bar_fill</t>
  </si>
  <si>
    <t>HP bar fill with readable health color/symbol support.</t>
  </si>
  <si>
    <t>ui_hud_mana_bar_bg</t>
  </si>
  <si>
    <t>Mana bar background track.</t>
  </si>
  <si>
    <t>ui_hud_mana_bar_fill</t>
  </si>
  <si>
    <t>Mana bar fill with magical readable style.</t>
  </si>
  <si>
    <t>ui_hud_shield_bar_bg</t>
  </si>
  <si>
    <t>Shield bar background track.</t>
  </si>
  <si>
    <t>ui_hud_shield_bar_fill</t>
  </si>
  <si>
    <t>Shield bar fill, bubble-like but readable.</t>
  </si>
  <si>
    <t>ui_hud_fever_bar_bg</t>
  </si>
  <si>
    <t>Fever meter background track.</t>
  </si>
  <si>
    <t>ui_hud_fever_bar_fill</t>
  </si>
  <si>
    <t>Fever meter fill with arcade/combo energy.</t>
  </si>
  <si>
    <t>ui_hud_enemy_intent_frame</t>
  </si>
  <si>
    <t>Frame for enemy intent icon/countdown.</t>
  </si>
  <si>
    <t>ui_hud_stage_label</t>
  </si>
  <si>
    <t>Small stage label plaque for battle top panel.</t>
  </si>
  <si>
    <t>ui_hud_cascade_badge</t>
  </si>
  <si>
    <t>Badge showing current cascade count.</t>
  </si>
  <si>
    <t>ui_hud_combo_badge</t>
  </si>
  <si>
    <t>Badge showing combo count/status.</t>
  </si>
  <si>
    <t>ui_hud_next_frame</t>
  </si>
  <si>
    <t>Frame for Next block preview.</t>
  </si>
  <si>
    <t>ui_hud_hold_frame</t>
  </si>
  <si>
    <t>Frame for Hold block preview.</t>
  </si>
  <si>
    <t>ui_hud_hazard_warning_tray</t>
  </si>
  <si>
    <t>Compact tray for hazard warnings and available counters.</t>
  </si>
  <si>
    <t>vfx_line_clear_sparkle</t>
  </si>
  <si>
    <t>Sparkle sweep across cleared line.</t>
  </si>
  <si>
    <t>vfx_cascade_pop_1</t>
  </si>
  <si>
    <t>Small cascade pop effect.</t>
  </si>
  <si>
    <t>vfx_cascade_pop_2</t>
  </si>
  <si>
    <t>Medium cascade pop effect.</t>
  </si>
  <si>
    <t>vfx_cascade_pop_3</t>
  </si>
  <si>
    <t>Large cascade pop effect.</t>
  </si>
  <si>
    <t>vfx_cascade_pop_mega</t>
  </si>
  <si>
    <t>Mega cascade celebration burst.</t>
  </si>
  <si>
    <t>vfx_block_drop_dust</t>
  </si>
  <si>
    <t>Tiny dust/puff when blocks land.</t>
  </si>
  <si>
    <t>vfx_block_lock_puff</t>
  </si>
  <si>
    <t>Small puff when active piece locks.</t>
  </si>
  <si>
    <t>vfx_junk_warning</t>
  </si>
  <si>
    <t>Warning effect for incoming junk tray/board.</t>
  </si>
  <si>
    <t>vfx_low_ceiling_warning</t>
  </si>
  <si>
    <t>Overlay/alert showing ceiling is dropping.</t>
  </si>
  <si>
    <t>vfx_floaty_block_warning</t>
  </si>
  <si>
    <t>Hover/countdown effect around floating block.</t>
  </si>
  <si>
    <t>vfx_enemy_hit_spark</t>
  </si>
  <si>
    <t>Small spark on enemy hit.</t>
  </si>
  <si>
    <t>vfx_player_hit_star</t>
  </si>
  <si>
    <t>Tiny stars near hero when hit.</t>
  </si>
  <si>
    <t>vfx_enemy_defeat_poof</t>
  </si>
  <si>
    <t>Poof effect when enemy calms down/defeats.</t>
  </si>
  <si>
    <t>vfx_player_heal_hearts</t>
  </si>
  <si>
    <t>Hearts/snack sparkles for heal.</t>
  </si>
  <si>
    <t>vfx_player_shield_bubble</t>
  </si>
  <si>
    <t>Bubble shield visual around hero.</t>
  </si>
  <si>
    <t>vfx_boss_intro_flash</t>
  </si>
  <si>
    <t>Short flash/impact for boss intro.</t>
  </si>
  <si>
    <t>vfx_boss_phase_change</t>
  </si>
  <si>
    <t>Boss phase change burst.</t>
  </si>
  <si>
    <t>vfx_victory_confetti</t>
  </si>
  <si>
    <t>Confetti celebration on victory.</t>
  </si>
  <si>
    <t>vfx_defeat_soft_smoke</t>
  </si>
  <si>
    <t>Soft smoke/puff for defeat transition.</t>
  </si>
  <si>
    <t>vfx_status_sugar_rush</t>
  </si>
  <si>
    <t>Loop or burst VFX for Sugar Rush status: speed/action boost icon, candy lightning style.</t>
  </si>
  <si>
    <t>vfx_status_sticky</t>
  </si>
  <si>
    <t>Loop or burst VFX for Sticky status: goo/sticky status icon.</t>
  </si>
  <si>
    <t>vfx_status_chilled</t>
  </si>
  <si>
    <t>Loop or burst VFX for Chilled status: snowflake/cold status icon.</t>
  </si>
  <si>
    <t>vfx_status_sleepy</t>
  </si>
  <si>
    <t>Loop or burst VFX for Sleepy status: sleep bubble/z icon.</t>
  </si>
  <si>
    <t>vfx_status_dizzy</t>
  </si>
  <si>
    <t>Loop or burst VFX for Dizzy status: spiral stars icon.</t>
  </si>
  <si>
    <t>vfx_status_sparkly</t>
  </si>
  <si>
    <t>Loop or burst VFX for Sparkly status: extra mana sparkle icon.</t>
  </si>
  <si>
    <t>vfx_status_bubbled</t>
  </si>
  <si>
    <t>Loop or burst VFX for Bubbled status: shield bubble icon.</t>
  </si>
  <si>
    <t>vfx_status_confetti</t>
  </si>
  <si>
    <t>Loop or burst VFX for Confetti status: random party bonus icon.</t>
  </si>
  <si>
    <t>vfx_status_snack_boost</t>
  </si>
  <si>
    <t>Loop or burst VFX for Snack Boost status: snack/heal-over-time icon.</t>
  </si>
  <si>
    <t>vfx_status_overclocked</t>
  </si>
  <si>
    <t>Loop or burst VFX for Overclocked status: machine speed/junk reward icon.</t>
  </si>
  <si>
    <t>font_pixel_header</t>
  </si>
  <si>
    <t>fonts/</t>
  </si>
  <si>
    <t>Pixel display font for titles, boss intros, stage names.</t>
  </si>
  <si>
    <t>font_pixel_body</t>
  </si>
  <si>
    <t>Readable pixel body font for descriptions, dialogue, buttons.</t>
  </si>
  <si>
    <t>font_pixel_number</t>
  </si>
  <si>
    <t>Readable numeric font for damage, HP, mana, gold, score.</t>
  </si>
  <si>
    <t>font_pixel_small</t>
  </si>
  <si>
    <t>Small UI font for tooltips, labels, compact HUD text.</t>
  </si>
  <si>
    <t>store_app_icon_512</t>
  </si>
  <si>
    <t>store/</t>
  </si>
  <si>
    <t>512x512 app icon: Milo, rune block, festival sparkle, readable at small size.</t>
  </si>
  <si>
    <t>store_app_icon_1024</t>
  </si>
  <si>
    <t>1024x1024 high-resolution store icon with same composition as app icon.</t>
  </si>
  <si>
    <t>store_feature_graphic</t>
  </si>
  <si>
    <t>Wide promotional graphic showing board, hero, monsters, and festival chaos.</t>
  </si>
  <si>
    <t>store_splash_portrait</t>
  </si>
  <si>
    <t>Portrait splash/loading image with Blockmancer logo and cheerful festival mood.</t>
  </si>
  <si>
    <t>store_screenshot_01_battle</t>
  </si>
  <si>
    <t>Store screenshot showing core battle board with hero/enemy panel.</t>
  </si>
  <si>
    <t>store_screenshot_02_cascade</t>
  </si>
  <si>
    <t>Store screenshot showing Cascade Gravity/combo moment.</t>
  </si>
  <si>
    <t>store_screenshot_03_map</t>
  </si>
  <si>
    <t>Store screenshot showing roguelike map progression.</t>
  </si>
  <si>
    <t>store_screenshot_04_boss</t>
  </si>
  <si>
    <t>Store screenshot showing boss rule or boss battle.</t>
  </si>
  <si>
    <t>store_screenshot_05_heroes</t>
  </si>
  <si>
    <t>Store screenshot showing hero select/unlocks.</t>
  </si>
  <si>
    <t>store_screenshot_06_rewards</t>
  </si>
  <si>
    <t>Store screenshot showing reward cards/items/relics.</t>
  </si>
  <si>
    <t>store_trailer_thumbnail</t>
  </si>
  <si>
    <t>Trailer thumbnail with strong character + falling block hook.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</si>
</sst>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i/>
      <sz val="11"/>
      <color rgb="FF134E4A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FFA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9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156"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761D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0000000}" name="SummaryTable" displayName="SummaryTable" ref="A4:F43">
  <tableColumns count="6">
    <tableColumn id="1" xr3:uid="{00000000-0010-0000-0000-000001000000}" name="Category Sheet"/>
    <tableColumn id="2" xr3:uid="{00000000-0010-0000-0000-000002000000}" name="Original Category"/>
    <tableColumn id="3" xr3:uid="{00000000-0010-0000-0000-000003000000}" name="Total Assets"/>
    <tableColumn id="4" xr3:uid="{00000000-0010-0000-0000-000004000000}" name="Done"/>
    <tableColumn id="5" xr3:uid="{00000000-0010-0000-0000-000005000000}" name="Remaining"/>
    <tableColumn id="6" xr3:uid="{00000000-0010-0000-0000-000006000000}" name="Progr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_00_Global_Placeholder" displayName="T_00_Global_Placeholder" ref="A4:E10">
  <tableColumns count="5">
    <tableColumn id="1" xr3:uid="{00000000-0010-0000-0100-000001000000}" name="Done?"/>
    <tableColumn id="2" xr3:uid="{00000000-0010-0000-0100-000002000000}" name="Asset Key"/>
    <tableColumn id="3" xr3:uid="{00000000-0010-0000-0100-000003000000}" name="Suggested Path"/>
    <tableColumn id="4" xr3:uid="{00000000-0010-0000-0100-000004000000}" name="Designer Description"/>
    <tableColumn id="5" xr3:uid="{00000000-0010-0000-0100-000005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_01_BGM" displayName="T_01_BGM" ref="A4:E30">
  <tableColumns count="5">
    <tableColumn id="1" xr3:uid="{00000000-0010-0000-0200-000001000000}" name="Done?"/>
    <tableColumn id="2" xr3:uid="{00000000-0010-0000-0200-000002000000}" name="Asset Key"/>
    <tableColumn id="3" xr3:uid="{00000000-0010-0000-0200-000003000000}" name="Suggested Folder"/>
    <tableColumn id="4" xr3:uid="{00000000-0010-0000-0200-000004000000}" name="Designer Description"/>
    <tableColumn id="5" xr3:uid="{00000000-0010-0000-0200-000005000000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_02_Ambient_Audio" displayName="T_02_Ambient_Audio" ref="A4:E13">
  <tableColumns count="5">
    <tableColumn id="1" xr3:uid="{00000000-0010-0000-0300-000001000000}" name="Done?"/>
    <tableColumn id="2" xr3:uid="{00000000-0010-0000-0300-000002000000}" name="Asset Key"/>
    <tableColumn id="3" xr3:uid="{00000000-0010-0000-0300-000003000000}" name="Suggested Folder"/>
    <tableColumn id="4" xr3:uid="{00000000-0010-0000-0300-000004000000}" name="Designer Description"/>
    <tableColumn id="5" xr3:uid="{00000000-0010-0000-0300-000005000000}" name="Prior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_03_SFX_Board" displayName="T_03_SFX_Board" ref="A4:E24">
  <tableColumns count="5">
    <tableColumn id="1" xr3:uid="{00000000-0010-0000-0400-000001000000}" name="Done?"/>
    <tableColumn id="2" xr3:uid="{00000000-0010-0000-0400-000002000000}" name="Asset Key"/>
    <tableColumn id="3" xr3:uid="{00000000-0010-0000-0400-000003000000}" name="Suggested Folder"/>
    <tableColumn id="4" xr3:uid="{00000000-0010-0000-0400-000004000000}" name="Designer Description"/>
    <tableColumn id="5" xr3:uid="{00000000-0010-0000-0400-000005000000}" name="Prio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_04_SFX_Special_Blocks" displayName="T_04_SFX_Special_Blocks" ref="A4:E22">
  <tableColumns count="5">
    <tableColumn id="1" xr3:uid="{00000000-0010-0000-0500-000001000000}" name="Done?"/>
    <tableColumn id="2" xr3:uid="{00000000-0010-0000-0500-000002000000}" name="Asset Key"/>
    <tableColumn id="3" xr3:uid="{00000000-0010-0000-0500-000003000000}" name="Suggested Folder"/>
    <tableColumn id="4" xr3:uid="{00000000-0010-0000-0500-000004000000}" name="Designer Description"/>
    <tableColumn id="5" xr3:uid="{00000000-0010-0000-0500-000005000000}" name="Prior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_05_SFX_Combat" displayName="T_05_SFX_Combat" ref="A4:E21">
  <tableColumns count="5">
    <tableColumn id="1" xr3:uid="{00000000-0010-0000-0600-000001000000}" name="Done?"/>
    <tableColumn id="2" xr3:uid="{00000000-0010-0000-0600-000002000000}" name="Asset Key"/>
    <tableColumn id="3" xr3:uid="{00000000-0010-0000-0600-000003000000}" name="Suggested Folder"/>
    <tableColumn id="4" xr3:uid="{00000000-0010-0000-0600-000004000000}" name="Designer Description"/>
    <tableColumn id="5" xr3:uid="{00000000-0010-0000-0600-000005000000}" name="Prior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_06_SFX_Spells" displayName="T_06_SFX_Spells" ref="A4:E19">
  <tableColumns count="5">
    <tableColumn id="1" xr3:uid="{00000000-0010-0000-0700-000001000000}" name="Done?"/>
    <tableColumn id="2" xr3:uid="{00000000-0010-0000-0700-000002000000}" name="Asset Key"/>
    <tableColumn id="3" xr3:uid="{00000000-0010-0000-0700-000003000000}" name="Suggested Folder"/>
    <tableColumn id="4" xr3:uid="{00000000-0010-0000-0700-000004000000}" name="Designer Description"/>
    <tableColumn id="5" xr3:uid="{00000000-0010-0000-0700-000005000000}" name="Prior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_07_SFX_UI" displayName="T_07_SFX_UI" ref="A4:E23">
  <tableColumns count="5">
    <tableColumn id="1" xr3:uid="{00000000-0010-0000-0800-000001000000}" name="Done?"/>
    <tableColumn id="2" xr3:uid="{00000000-0010-0000-0800-000002000000}" name="Asset Key"/>
    <tableColumn id="3" xr3:uid="{00000000-0010-0000-0800-000003000000}" name="Suggested Folder"/>
    <tableColumn id="4" xr3:uid="{00000000-0010-0000-0800-000004000000}" name="Designer Description"/>
    <tableColumn id="5" xr3:uid="{00000000-0010-0000-0800-000005000000}" name="Priorit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_08_BG_Scenes" displayName="T_08_BG_Scenes" ref="A4:E19">
  <tableColumns count="5">
    <tableColumn id="1" xr3:uid="{00000000-0010-0000-0900-000001000000}" name="Done?"/>
    <tableColumn id="2" xr3:uid="{00000000-0010-0000-0900-000002000000}" name="Asset Key"/>
    <tableColumn id="3" xr3:uid="{00000000-0010-0000-0900-000003000000}" name="Suggested Folder"/>
    <tableColumn id="4" xr3:uid="{00000000-0010-0000-0900-000004000000}" name="Designer Description"/>
    <tableColumn id="5" xr3:uid="{00000000-0010-0000-0900-000005000000}" name="Priori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_09_BG_Stage_Battle_Parallax" displayName="T_09_BG_Stage_Battle_Parallax" ref="A4:E22">
  <tableColumns count="5">
    <tableColumn id="1" xr3:uid="{00000000-0010-0000-0A00-000001000000}" name="Done?"/>
    <tableColumn id="2" xr3:uid="{00000000-0010-0000-0A00-000002000000}" name="Asset Key"/>
    <tableColumn id="3" xr3:uid="{00000000-0010-0000-0A00-000003000000}" name="Suggested Folder"/>
    <tableColumn id="4" xr3:uid="{00000000-0010-0000-0A00-000004000000}" name="Designer Description"/>
    <tableColumn id="5" xr3:uid="{00000000-0010-0000-0A00-000005000000}" name="Priori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_10_BG_Boss_Arenas" displayName="T_10_BG_Boss_Arenas" ref="A4:E10">
  <tableColumns count="5">
    <tableColumn id="1" xr3:uid="{00000000-0010-0000-0B00-000001000000}" name="Done?"/>
    <tableColumn id="2" xr3:uid="{00000000-0010-0000-0B00-000002000000}" name="Asset Key"/>
    <tableColumn id="3" xr3:uid="{00000000-0010-0000-0B00-000003000000}" name="Suggested Folder"/>
    <tableColumn id="4" xr3:uid="{00000000-0010-0000-0B00-000004000000}" name="Designer Description"/>
    <tableColumn id="5" xr3:uid="{00000000-0010-0000-0B00-000005000000}" name="Priorit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T_11_Map_Map_BGs" displayName="T_11_Map_Map_BGs" ref="A4:E10">
  <tableColumns count="5">
    <tableColumn id="1" xr3:uid="{00000000-0010-0000-0C00-000001000000}" name="Done?"/>
    <tableColumn id="2" xr3:uid="{00000000-0010-0000-0C00-000002000000}" name="Asset Key"/>
    <tableColumn id="3" xr3:uid="{00000000-0010-0000-0C00-000003000000}" name="Suggested Folder"/>
    <tableColumn id="4" xr3:uid="{00000000-0010-0000-0C00-000004000000}" name="Designer Description"/>
    <tableColumn id="5" xr3:uid="{00000000-0010-0000-0C00-000005000000}" name="Priorit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T_12_Map_Node_States" displayName="T_12_Map_Node_States" ref="A4:E44">
  <tableColumns count="5">
    <tableColumn id="1" xr3:uid="{00000000-0010-0000-0D00-000001000000}" name="Done?"/>
    <tableColumn id="2" xr3:uid="{00000000-0010-0000-0D00-000002000000}" name="Asset Key"/>
    <tableColumn id="3" xr3:uid="{00000000-0010-0000-0D00-000003000000}" name="Suggested Folder"/>
    <tableColumn id="4" xr3:uid="{00000000-0010-0000-0D00-000004000000}" name="Designer Description"/>
    <tableColumn id="5" xr3:uid="{00000000-0010-0000-0D00-000005000000}" name="Priorit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T_13_Map_Paths_and_Decorations" displayName="T_13_Map_Paths_and_Decorations" ref="A4:E15">
  <tableColumns count="5">
    <tableColumn id="1" xr3:uid="{00000000-0010-0000-0E00-000001000000}" name="Done?"/>
    <tableColumn id="2" xr3:uid="{00000000-0010-0000-0E00-000002000000}" name="Asset Key"/>
    <tableColumn id="3" xr3:uid="{00000000-0010-0000-0E00-000003000000}" name="Suggested Folder"/>
    <tableColumn id="4" xr3:uid="{00000000-0010-0000-0E00-000004000000}" name="Designer Description"/>
    <tableColumn id="5" xr3:uid="{00000000-0010-0000-0E00-000005000000}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T_14_Heroes" displayName="T_14_Heroes" ref="A4:E58">
  <tableColumns count="5">
    <tableColumn id="1" xr3:uid="{00000000-0010-0000-0F00-000001000000}" name="Done?"/>
    <tableColumn id="2" xr3:uid="{00000000-0010-0000-0F00-000002000000}" name="Asset Key"/>
    <tableColumn id="3" xr3:uid="{00000000-0010-0000-0F00-000003000000}" name="Suggested Folder"/>
    <tableColumn id="4" xr3:uid="{00000000-0010-0000-0F00-000004000000}" name="Designer Description"/>
    <tableColumn id="5" xr3:uid="{00000000-0010-0000-0F00-000005000000}" name="Priorit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T_15_Monsters" displayName="T_15_Monsters" ref="A4:E184">
  <tableColumns count="5">
    <tableColumn id="1" xr3:uid="{00000000-0010-0000-1000-000001000000}" name="Done?"/>
    <tableColumn id="2" xr3:uid="{00000000-0010-0000-1000-000002000000}" name="Asset Key"/>
    <tableColumn id="3" xr3:uid="{00000000-0010-0000-1000-000003000000}" name="Suggested Folder"/>
    <tableColumn id="4" xr3:uid="{00000000-0010-0000-1000-000004000000}" name="Designer Description"/>
    <tableColumn id="5" xr3:uid="{00000000-0010-0000-1000-000005000000}" name="Priorit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T_16_Bosses" displayName="T_16_Bosses" ref="A4:E58">
  <tableColumns count="5">
    <tableColumn id="1" xr3:uid="{00000000-0010-0000-1100-000001000000}" name="Done?"/>
    <tableColumn id="2" xr3:uid="{00000000-0010-0000-1100-000002000000}" name="Asset Key"/>
    <tableColumn id="3" xr3:uid="{00000000-0010-0000-1100-000003000000}" name="Suggested Folder"/>
    <tableColumn id="4" xr3:uid="{00000000-0010-0000-1100-000004000000}" name="Designer Description"/>
    <tableColumn id="5" xr3:uid="{00000000-0010-0000-1100-000005000000}" name="Priorit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T_17_NPCs" displayName="T_17_NPCs" ref="A4:E28">
  <tableColumns count="5">
    <tableColumn id="1" xr3:uid="{00000000-0010-0000-1200-000001000000}" name="Done?"/>
    <tableColumn id="2" xr3:uid="{00000000-0010-0000-1200-000002000000}" name="Asset Key"/>
    <tableColumn id="3" xr3:uid="{00000000-0010-0000-1200-000003000000}" name="Suggested Folder"/>
    <tableColumn id="4" xr3:uid="{00000000-0010-0000-1200-000004000000}" name="Designer Description"/>
    <tableColumn id="5" xr3:uid="{00000000-0010-0000-1200-000005000000}" name="Priorit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T_18_Board_Blocks" displayName="T_18_Board_Blocks" ref="A4:E90">
  <tableColumns count="5">
    <tableColumn id="1" xr3:uid="{00000000-0010-0000-1300-000001000000}" name="Done?"/>
    <tableColumn id="2" xr3:uid="{00000000-0010-0000-1300-000002000000}" name="Asset Key"/>
    <tableColumn id="3" xr3:uid="{00000000-0010-0000-1300-000003000000}" name="Suggested Folder"/>
    <tableColumn id="4" xr3:uid="{00000000-0010-0000-1300-000004000000}" name="Designer Description"/>
    <tableColumn id="5" xr3:uid="{00000000-0010-0000-1300-000005000000}" name="Priority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4000000}" name="T_19_and_VFX_Spells" displayName="T_19_and_VFX_Spells" ref="A4:E49">
  <tableColumns count="5">
    <tableColumn id="1" xr3:uid="{00000000-0010-0000-1400-000001000000}" name="Done?"/>
    <tableColumn id="2" xr3:uid="{00000000-0010-0000-1400-000002000000}" name="Asset Key"/>
    <tableColumn id="3" xr3:uid="{00000000-0010-0000-1400-000003000000}" name="Suggested Folder"/>
    <tableColumn id="4" xr3:uid="{00000000-0010-0000-1400-000004000000}" name="Designer Description"/>
    <tableColumn id="5" xr3:uid="{00000000-0010-0000-1400-000005000000}" name="Priority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T_20_Items" displayName="T_20_Items" ref="A4:E56">
  <tableColumns count="5">
    <tableColumn id="1" xr3:uid="{00000000-0010-0000-1500-000001000000}" name="Done?"/>
    <tableColumn id="2" xr3:uid="{00000000-0010-0000-1500-000002000000}" name="Asset Key"/>
    <tableColumn id="3" xr3:uid="{00000000-0010-0000-1500-000003000000}" name="Suggested Folder"/>
    <tableColumn id="4" xr3:uid="{00000000-0010-0000-1500-000004000000}" name="Designer Description"/>
    <tableColumn id="5" xr3:uid="{00000000-0010-0000-1500-000005000000}" name="Priority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T_21_Relics" displayName="T_21_Relics" ref="A4:E19">
  <tableColumns count="5">
    <tableColumn id="1" xr3:uid="{00000000-0010-0000-1600-000001000000}" name="Done?"/>
    <tableColumn id="2" xr3:uid="{00000000-0010-0000-1600-000002000000}" name="Asset Key"/>
    <tableColumn id="3" xr3:uid="{00000000-0010-0000-1600-000003000000}" name="Suggested Folder"/>
    <tableColumn id="4" xr3:uid="{00000000-0010-0000-1600-000004000000}" name="Designer Description"/>
    <tableColumn id="5" xr3:uid="{00000000-0010-0000-1600-000005000000}" name="Priorit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T_22_Upgrades" displayName="T_22_Upgrades" ref="A4:E19">
  <tableColumns count="5">
    <tableColumn id="1" xr3:uid="{00000000-0010-0000-1700-000001000000}" name="Done?"/>
    <tableColumn id="2" xr3:uid="{00000000-0010-0000-1700-000002000000}" name="Asset Key"/>
    <tableColumn id="3" xr3:uid="{00000000-0010-0000-1700-000003000000}" name="Suggested Folder"/>
    <tableColumn id="4" xr3:uid="{00000000-0010-0000-1700-000004000000}" name="Designer Description"/>
    <tableColumn id="5" xr3:uid="{00000000-0010-0000-1700-000005000000}" name="Priorit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T_23_and_Weapons" displayName="T_23_and_Weapons" ref="A4:E24">
  <tableColumns count="5">
    <tableColumn id="1" xr3:uid="{00000000-0010-0000-1800-000001000000}" name="Done?"/>
    <tableColumn id="2" xr3:uid="{00000000-0010-0000-1800-000002000000}" name="Asset Key"/>
    <tableColumn id="3" xr3:uid="{00000000-0010-0000-1800-000003000000}" name="Suggested Folder"/>
    <tableColumn id="4" xr3:uid="{00000000-0010-0000-1800-000004000000}" name="Designer Description"/>
    <tableColumn id="5" xr3:uid="{00000000-0010-0000-1800-000005000000}" name="Priority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T_24_Status_Effects" displayName="T_24_Status_Effects" ref="A4:E14">
  <tableColumns count="5">
    <tableColumn id="1" xr3:uid="{00000000-0010-0000-1900-000001000000}" name="Done?"/>
    <tableColumn id="2" xr3:uid="{00000000-0010-0000-1900-000002000000}" name="Asset Key"/>
    <tableColumn id="3" xr3:uid="{00000000-0010-0000-1900-000003000000}" name="Suggested Folder"/>
    <tableColumn id="4" xr3:uid="{00000000-0010-0000-1900-000004000000}" name="Designer Description"/>
    <tableColumn id="5" xr3:uid="{00000000-0010-0000-1900-000005000000}" name="Priority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T_25_Oopsies" displayName="T_25_Oopsies" ref="A4:E12">
  <tableColumns count="5">
    <tableColumn id="1" xr3:uid="{00000000-0010-0000-1A00-000001000000}" name="Done?"/>
    <tableColumn id="2" xr3:uid="{00000000-0010-0000-1A00-000002000000}" name="Asset Key"/>
    <tableColumn id="3" xr3:uid="{00000000-0010-0000-1A00-000003000000}" name="Suggested Folder"/>
    <tableColumn id="4" xr3:uid="{00000000-0010-0000-1A00-000004000000}" name="Designer Description"/>
    <tableColumn id="5" xr3:uid="{00000000-0010-0000-1A00-000005000000}" name="Priority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B000000}" name="T_26_Festival_Chaos_Rules" displayName="T_26_Festival_Chaos_Rules" ref="A4:E12">
  <tableColumns count="5">
    <tableColumn id="1" xr3:uid="{00000000-0010-0000-1B00-000001000000}" name="Done?"/>
    <tableColumn id="2" xr3:uid="{00000000-0010-0000-1B00-000002000000}" name="Asset Key"/>
    <tableColumn id="3" xr3:uid="{00000000-0010-0000-1B00-000003000000}" name="Suggested Folder"/>
    <tableColumn id="4" xr3:uid="{00000000-0010-0000-1B00-000004000000}" name="Designer Description"/>
    <tableColumn id="5" xr3:uid="{00000000-0010-0000-1B00-000005000000}" name="Priority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C000000}" name="T_27_Battle_Objectives" displayName="T_27_Battle_Objectives" ref="A4:E14">
  <tableColumns count="5">
    <tableColumn id="1" xr3:uid="{00000000-0010-0000-1C00-000001000000}" name="Done?"/>
    <tableColumn id="2" xr3:uid="{00000000-0010-0000-1C00-000002000000}" name="Asset Key"/>
    <tableColumn id="3" xr3:uid="{00000000-0010-0000-1C00-000003000000}" name="Suggested Folder"/>
    <tableColumn id="4" xr3:uid="{00000000-0010-0000-1C00-000004000000}" name="Designer Description"/>
    <tableColumn id="5" xr3:uid="{00000000-0010-0000-1C00-000005000000}" name="Priority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D000000}" name="T_28_Events" displayName="T_28_Events" ref="A4:E32">
  <tableColumns count="5">
    <tableColumn id="1" xr3:uid="{00000000-0010-0000-1D00-000001000000}" name="Done?"/>
    <tableColumn id="2" xr3:uid="{00000000-0010-0000-1D00-000002000000}" name="Asset Key"/>
    <tableColumn id="3" xr3:uid="{00000000-0010-0000-1D00-000003000000}" name="Suggested Folder"/>
    <tableColumn id="4" xr3:uid="{00000000-0010-0000-1D00-000004000000}" name="Designer Description"/>
    <tableColumn id="5" xr3:uid="{00000000-0010-0000-1D00-000005000000}" name="Priorit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E000000}" name="T_29_Boss_Rule_Cards" displayName="T_29_Boss_Rule_Cards" ref="A4:E10">
  <tableColumns count="5">
    <tableColumn id="1" xr3:uid="{00000000-0010-0000-1E00-000001000000}" name="Done?"/>
    <tableColumn id="2" xr3:uid="{00000000-0010-0000-1E00-000002000000}" name="Asset Key"/>
    <tableColumn id="3" xr3:uid="{00000000-0010-0000-1E00-000003000000}" name="Suggested Folder"/>
    <tableColumn id="4" xr3:uid="{00000000-0010-0000-1E00-000004000000}" name="Designer Description"/>
    <tableColumn id="5" xr3:uid="{00000000-0010-0000-1E00-000005000000}" name="Priority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F000000}" name="T_30_Currency_Collect" displayName="T_30_Currency_Collect" ref="A4:E12">
  <tableColumns count="5">
    <tableColumn id="1" xr3:uid="{00000000-0010-0000-1F00-000001000000}" name="Done?"/>
    <tableColumn id="2" xr3:uid="{00000000-0010-0000-1F00-000002000000}" name="Asset Key"/>
    <tableColumn id="3" xr3:uid="{00000000-0010-0000-1F00-000003000000}" name="Suggested Folder"/>
    <tableColumn id="4" xr3:uid="{00000000-0010-0000-1F00-000004000000}" name="Designer Description"/>
    <tableColumn id="5" xr3:uid="{00000000-0010-0000-1F00-000005000000}" name="Priority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0000000}" name="T_31_and_Hub_Buildings" displayName="T_31_and_Hub_Buildings" ref="A4:E44">
  <tableColumns count="5">
    <tableColumn id="1" xr3:uid="{00000000-0010-0000-2000-000001000000}" name="Done?"/>
    <tableColumn id="2" xr3:uid="{00000000-0010-0000-2000-000002000000}" name="Asset Key"/>
    <tableColumn id="3" xr3:uid="{00000000-0010-0000-2000-000003000000}" name="Suggested Folder"/>
    <tableColumn id="4" xr3:uid="{00000000-0010-0000-2000-000004000000}" name="Designer Description"/>
    <tableColumn id="5" xr3:uid="{00000000-0010-0000-2000-000005000000}" name="Priority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1000000}" name="T_32_UI_Panels_Frames" displayName="T_32_UI_Panels_Frames" ref="A4:E20">
  <tableColumns count="5">
    <tableColumn id="1" xr3:uid="{00000000-0010-0000-2100-000001000000}" name="Done?"/>
    <tableColumn id="2" xr3:uid="{00000000-0010-0000-2100-000002000000}" name="Asset Key"/>
    <tableColumn id="3" xr3:uid="{00000000-0010-0000-2100-000003000000}" name="Suggested Folder"/>
    <tableColumn id="4" xr3:uid="{00000000-0010-0000-2100-000004000000}" name="Designer Description"/>
    <tableColumn id="5" xr3:uid="{00000000-0010-0000-2100-000005000000}" name="Priority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2000000}" name="T_33_UI_Buttons" displayName="T_33_UI_Buttons" ref="A4:E18">
  <tableColumns count="5">
    <tableColumn id="1" xr3:uid="{00000000-0010-0000-2200-000001000000}" name="Done?"/>
    <tableColumn id="2" xr3:uid="{00000000-0010-0000-2200-000002000000}" name="Asset Key"/>
    <tableColumn id="3" xr3:uid="{00000000-0010-0000-2200-000003000000}" name="Suggested Folder"/>
    <tableColumn id="4" xr3:uid="{00000000-0010-0000-2200-000004000000}" name="Designer Description"/>
    <tableColumn id="5" xr3:uid="{00000000-0010-0000-2200-000005000000}" name="Priority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3000000}" name="T_34_UI_Controls" displayName="T_34_UI_Controls" ref="A4:E18">
  <tableColumns count="5">
    <tableColumn id="1" xr3:uid="{00000000-0010-0000-2300-000001000000}" name="Done?"/>
    <tableColumn id="2" xr3:uid="{00000000-0010-0000-2300-000002000000}" name="Asset Key"/>
    <tableColumn id="3" xr3:uid="{00000000-0010-0000-2300-000003000000}" name="Suggested Folder"/>
    <tableColumn id="4" xr3:uid="{00000000-0010-0000-2300-000004000000}" name="Designer Description"/>
    <tableColumn id="5" xr3:uid="{00000000-0010-0000-2300-000005000000}" name="Priority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4000000}" name="T_35_UI_HUD" displayName="T_35_UI_HUD" ref="A4:E19">
  <tableColumns count="5">
    <tableColumn id="1" xr3:uid="{00000000-0010-0000-2400-000001000000}" name="Done?"/>
    <tableColumn id="2" xr3:uid="{00000000-0010-0000-2400-000002000000}" name="Asset Key"/>
    <tableColumn id="3" xr3:uid="{00000000-0010-0000-2400-000003000000}" name="Suggested Folder"/>
    <tableColumn id="4" xr3:uid="{00000000-0010-0000-2400-000004000000}" name="Designer Description"/>
    <tableColumn id="5" xr3:uid="{00000000-0010-0000-2400-000005000000}" name="Priority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5000000}" name="T_36_VFX_VFX" displayName="T_36_VFX_VFX" ref="A4:E33">
  <tableColumns count="5">
    <tableColumn id="1" xr3:uid="{00000000-0010-0000-2500-000001000000}" name="Done?"/>
    <tableColumn id="2" xr3:uid="{00000000-0010-0000-2500-000002000000}" name="Asset Key"/>
    <tableColumn id="3" xr3:uid="{00000000-0010-0000-2500-000003000000}" name="Suggested Folder"/>
    <tableColumn id="4" xr3:uid="{00000000-0010-0000-2500-000004000000}" name="Designer Description"/>
    <tableColumn id="5" xr3:uid="{00000000-0010-0000-2500-000005000000}" name="Priority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6000000}" name="T_37_Font" displayName="T_37_Font" ref="A4:E8">
  <tableColumns count="5">
    <tableColumn id="1" xr3:uid="{00000000-0010-0000-2600-000001000000}" name="Done?"/>
    <tableColumn id="2" xr3:uid="{00000000-0010-0000-2600-000002000000}" name="Asset Key"/>
    <tableColumn id="3" xr3:uid="{00000000-0010-0000-2600-000003000000}" name="Suggested Folder"/>
    <tableColumn id="4" xr3:uid="{00000000-0010-0000-2600-000004000000}" name="Designer Description"/>
    <tableColumn id="5" xr3:uid="{00000000-0010-0000-2600-000005000000}" name="Priority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7000000}" name="T_38_Store" displayName="T_38_Store" ref="A4:E15">
  <tableColumns count="5">
    <tableColumn id="1" xr3:uid="{00000000-0010-0000-2700-000001000000}" name="Done?"/>
    <tableColumn id="2" xr3:uid="{00000000-0010-0000-2700-000002000000}" name="Asset Key"/>
    <tableColumn id="3" xr3:uid="{00000000-0010-0000-2700-000003000000}" name="Suggested Folder"/>
    <tableColumn id="4" xr3:uid="{00000000-0010-0000-2700-000004000000}" name="Designer Description"/>
    <tableColumn id="5" xr3:uid="{00000000-0010-0000-2700-000005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B20" sqref="B20"/>
    </sheetView>
  </sheetViews>
  <sheetFormatPr defaultRowHeight="15" x14ac:dyDescent="0.25"/>
  <cols>
    <col min="1" max="1" width="32" customWidth="1"/>
    <col min="2" max="2" width="50" customWidth="1"/>
    <col min="3" max="6" width="13" customWidth="1"/>
  </cols>
  <sheetData>
    <row r="1" spans="1:6" x14ac:dyDescent="0.25">
      <c r="A1" s="7" t="s">
        <v>0</v>
      </c>
      <c r="B1" s="8"/>
      <c r="C1" s="8"/>
      <c r="D1" s="8"/>
      <c r="E1" s="8"/>
      <c r="F1" s="8"/>
    </row>
    <row r="2" spans="1:6" x14ac:dyDescent="0.25">
      <c r="A2" s="9" t="s">
        <v>1</v>
      </c>
      <c r="B2" s="8"/>
      <c r="C2" s="8"/>
      <c r="D2" s="8"/>
      <c r="E2" s="8"/>
      <c r="F2" s="8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2" t="s">
        <v>9</v>
      </c>
      <c r="C5" s="2">
        <f>COUNTA('00 Global Placeholder'!$B$5:$B$10000)</f>
        <v>6</v>
      </c>
      <c r="D5" s="2">
        <f>COUNTIF('00 Global Placeholder'!$A$5:$A$10000,"☑")</f>
        <v>0</v>
      </c>
      <c r="E5" s="2">
        <f t="shared" ref="E5:E43" si="0">C5-D5</f>
        <v>6</v>
      </c>
      <c r="F5" s="6">
        <f t="shared" ref="F5:F43" si="1">IFERROR(D5/C5,0)</f>
        <v>0</v>
      </c>
    </row>
    <row r="6" spans="1:6" x14ac:dyDescent="0.25">
      <c r="A6" s="2" t="s">
        <v>10</v>
      </c>
      <c r="B6" s="2" t="s">
        <v>11</v>
      </c>
      <c r="C6" s="2">
        <f>COUNTA('01 BGM'!$B$5:$B$10000)</f>
        <v>26</v>
      </c>
      <c r="D6" s="2">
        <f>COUNTIF('01 BGM'!$A$5:$A$10000,"☑")</f>
        <v>0</v>
      </c>
      <c r="E6" s="2">
        <f t="shared" si="0"/>
        <v>26</v>
      </c>
      <c r="F6" s="6">
        <f t="shared" si="1"/>
        <v>0</v>
      </c>
    </row>
    <row r="7" spans="1:6" x14ac:dyDescent="0.25">
      <c r="A7" s="2" t="s">
        <v>12</v>
      </c>
      <c r="B7" s="2" t="s">
        <v>13</v>
      </c>
      <c r="C7" s="2">
        <f>COUNTA('02 Ambient Audio'!$B$5:$B$10000)</f>
        <v>9</v>
      </c>
      <c r="D7" s="2">
        <f>COUNTIF('02 Ambient Audio'!$A$5:$A$10000,"☑")</f>
        <v>0</v>
      </c>
      <c r="E7" s="2">
        <f t="shared" si="0"/>
        <v>9</v>
      </c>
      <c r="F7" s="6">
        <f t="shared" si="1"/>
        <v>0</v>
      </c>
    </row>
    <row r="8" spans="1:6" x14ac:dyDescent="0.25">
      <c r="A8" s="2" t="s">
        <v>14</v>
      </c>
      <c r="B8" s="2" t="s">
        <v>15</v>
      </c>
      <c r="C8" s="2">
        <f>COUNTA('03 SFX - Board'!$B$5:$B$10000)</f>
        <v>20</v>
      </c>
      <c r="D8" s="2">
        <f>COUNTIF('03 SFX - Board'!$A$5:$A$10000,"☑")</f>
        <v>0</v>
      </c>
      <c r="E8" s="2">
        <f t="shared" si="0"/>
        <v>20</v>
      </c>
      <c r="F8" s="6">
        <f t="shared" si="1"/>
        <v>0</v>
      </c>
    </row>
    <row r="9" spans="1:6" x14ac:dyDescent="0.25">
      <c r="A9" s="2" t="s">
        <v>16</v>
      </c>
      <c r="B9" s="2" t="s">
        <v>17</v>
      </c>
      <c r="C9" s="2">
        <f>COUNTA('04 SFX - Special Blocks'!$B$5:$B$10000)</f>
        <v>18</v>
      </c>
      <c r="D9" s="2">
        <f>COUNTIF('04 SFX - Special Blocks'!$A$5:$A$10000,"☑")</f>
        <v>0</v>
      </c>
      <c r="E9" s="2">
        <f t="shared" si="0"/>
        <v>18</v>
      </c>
      <c r="F9" s="6">
        <f t="shared" si="1"/>
        <v>0</v>
      </c>
    </row>
    <row r="10" spans="1:6" x14ac:dyDescent="0.25">
      <c r="A10" s="2" t="s">
        <v>18</v>
      </c>
      <c r="B10" s="2" t="s">
        <v>19</v>
      </c>
      <c r="C10" s="2">
        <f>COUNTA('05 SFX - Combat'!$B$5:$B$10000)</f>
        <v>17</v>
      </c>
      <c r="D10" s="2">
        <f>COUNTIF('05 SFX - Combat'!$A$5:$A$10000,"☑")</f>
        <v>0</v>
      </c>
      <c r="E10" s="2">
        <f t="shared" si="0"/>
        <v>17</v>
      </c>
      <c r="F10" s="6">
        <f t="shared" si="1"/>
        <v>0</v>
      </c>
    </row>
    <row r="11" spans="1:6" x14ac:dyDescent="0.25">
      <c r="A11" s="2" t="s">
        <v>20</v>
      </c>
      <c r="B11" s="2" t="s">
        <v>21</v>
      </c>
      <c r="C11" s="2">
        <f>COUNTA('06 SFX - Spells'!$B$5:$B$10000)</f>
        <v>15</v>
      </c>
      <c r="D11" s="2">
        <f>COUNTIF('06 SFX - Spells'!$A$5:$A$10000,"☑")</f>
        <v>0</v>
      </c>
      <c r="E11" s="2">
        <f t="shared" si="0"/>
        <v>15</v>
      </c>
      <c r="F11" s="6">
        <f t="shared" si="1"/>
        <v>0</v>
      </c>
    </row>
    <row r="12" spans="1:6" x14ac:dyDescent="0.25">
      <c r="A12" s="2" t="s">
        <v>22</v>
      </c>
      <c r="B12" s="2" t="s">
        <v>23</v>
      </c>
      <c r="C12" s="2">
        <f>COUNTA('07 SFX - UI'!$B$5:$B$10000)</f>
        <v>19</v>
      </c>
      <c r="D12" s="2">
        <f>COUNTIF('07 SFX - UI'!$A$5:$A$10000,"☑")</f>
        <v>0</v>
      </c>
      <c r="E12" s="2">
        <f t="shared" si="0"/>
        <v>19</v>
      </c>
      <c r="F12" s="6">
        <f t="shared" si="1"/>
        <v>0</v>
      </c>
    </row>
    <row r="13" spans="1:6" x14ac:dyDescent="0.25">
      <c r="A13" s="2" t="s">
        <v>24</v>
      </c>
      <c r="B13" s="2" t="s">
        <v>25</v>
      </c>
      <c r="C13" s="2">
        <f>COUNTA('08 BG - Scenes'!$B$5:$B$10000)</f>
        <v>15</v>
      </c>
      <c r="D13" s="2">
        <f>COUNTIF('08 BG - Scenes'!$A$5:$A$10000,"☑")</f>
        <v>0</v>
      </c>
      <c r="E13" s="2">
        <f t="shared" si="0"/>
        <v>15</v>
      </c>
      <c r="F13" s="6">
        <f t="shared" si="1"/>
        <v>0</v>
      </c>
    </row>
    <row r="14" spans="1:6" x14ac:dyDescent="0.25">
      <c r="A14" s="2" t="s">
        <v>26</v>
      </c>
      <c r="B14" s="2" t="s">
        <v>27</v>
      </c>
      <c r="C14" s="2">
        <f>COUNTA('09 BG - Stage Battle Parallax'!$B$5:$B$10000)</f>
        <v>18</v>
      </c>
      <c r="D14" s="2">
        <f>COUNTIF('09 BG - Stage Battle Parallax'!$A$5:$A$10000,"☑")</f>
        <v>0</v>
      </c>
      <c r="E14" s="2">
        <f t="shared" si="0"/>
        <v>18</v>
      </c>
      <c r="F14" s="6">
        <f t="shared" si="1"/>
        <v>0</v>
      </c>
    </row>
    <row r="15" spans="1:6" x14ac:dyDescent="0.25">
      <c r="A15" s="2" t="s">
        <v>28</v>
      </c>
      <c r="B15" s="2" t="s">
        <v>29</v>
      </c>
      <c r="C15" s="2">
        <f>COUNTA('10 BG - Boss Arenas'!$B$5:$B$10000)</f>
        <v>6</v>
      </c>
      <c r="D15" s="2">
        <f>COUNTIF('10 BG - Boss Arenas'!$A$5:$A$10000,"☑")</f>
        <v>0</v>
      </c>
      <c r="E15" s="2">
        <f t="shared" si="0"/>
        <v>6</v>
      </c>
      <c r="F15" s="6">
        <f t="shared" si="1"/>
        <v>0</v>
      </c>
    </row>
    <row r="16" spans="1:6" x14ac:dyDescent="0.25">
      <c r="A16" s="2" t="s">
        <v>30</v>
      </c>
      <c r="B16" s="2" t="s">
        <v>31</v>
      </c>
      <c r="C16" s="2">
        <f>COUNTA('11 Map - Map BGs'!$B$5:$B$10000)</f>
        <v>6</v>
      </c>
      <c r="D16" s="2">
        <f>COUNTIF('11 Map - Map BGs'!$A$5:$A$10000,"☑")</f>
        <v>0</v>
      </c>
      <c r="E16" s="2">
        <f t="shared" si="0"/>
        <v>6</v>
      </c>
      <c r="F16" s="6">
        <f t="shared" si="1"/>
        <v>0</v>
      </c>
    </row>
    <row r="17" spans="1:6" x14ac:dyDescent="0.25">
      <c r="A17" s="2" t="s">
        <v>32</v>
      </c>
      <c r="B17" s="2" t="s">
        <v>33</v>
      </c>
      <c r="C17" s="2">
        <f>COUNTA('12 Map - Node States'!$B$5:$B$10000)</f>
        <v>40</v>
      </c>
      <c r="D17" s="2">
        <f>COUNTIF('12 Map - Node States'!$A$5:$A$10000,"☑")</f>
        <v>0</v>
      </c>
      <c r="E17" s="2">
        <f t="shared" si="0"/>
        <v>40</v>
      </c>
      <c r="F17" s="6">
        <f t="shared" si="1"/>
        <v>0</v>
      </c>
    </row>
    <row r="18" spans="1:6" x14ac:dyDescent="0.25">
      <c r="A18" s="2" t="s">
        <v>34</v>
      </c>
      <c r="B18" s="2" t="s">
        <v>35</v>
      </c>
      <c r="C18" s="2">
        <f>COUNTA('13 Map - Paths and Decorations'!$B$5:$B$10000)</f>
        <v>11</v>
      </c>
      <c r="D18" s="2">
        <f>COUNTIF('13 Map - Paths and Decorations'!$A$5:$A$10000,"☑")</f>
        <v>0</v>
      </c>
      <c r="E18" s="2">
        <f t="shared" si="0"/>
        <v>11</v>
      </c>
      <c r="F18" s="6">
        <f t="shared" si="1"/>
        <v>0</v>
      </c>
    </row>
    <row r="19" spans="1:6" x14ac:dyDescent="0.25">
      <c r="A19" s="2" t="s">
        <v>36</v>
      </c>
      <c r="B19" s="2" t="s">
        <v>37</v>
      </c>
      <c r="C19" s="2">
        <f>COUNTA('14 - Heroes'!$B$5:$B$10000)</f>
        <v>54</v>
      </c>
      <c r="D19" s="2">
        <f>COUNTIF('14 - Heroes'!$A$5:$A$10000,"☑")</f>
        <v>0</v>
      </c>
      <c r="E19" s="2">
        <f t="shared" si="0"/>
        <v>54</v>
      </c>
      <c r="F19" s="6">
        <f t="shared" si="1"/>
        <v>0</v>
      </c>
    </row>
    <row r="20" spans="1:6" x14ac:dyDescent="0.25">
      <c r="A20" s="2" t="s">
        <v>38</v>
      </c>
      <c r="B20" s="2" t="s">
        <v>39</v>
      </c>
      <c r="C20" s="2">
        <f>COUNTA('15 - Monsters'!$B$5:$B$10000)</f>
        <v>180</v>
      </c>
      <c r="D20" s="2">
        <f>COUNTIF('15 - Monsters'!$A$5:$A$10000,"☑")</f>
        <v>0</v>
      </c>
      <c r="E20" s="2">
        <f t="shared" si="0"/>
        <v>180</v>
      </c>
      <c r="F20" s="6">
        <f t="shared" si="1"/>
        <v>0</v>
      </c>
    </row>
    <row r="21" spans="1:6" x14ac:dyDescent="0.25">
      <c r="A21" s="2" t="s">
        <v>40</v>
      </c>
      <c r="B21" s="2" t="s">
        <v>41</v>
      </c>
      <c r="C21" s="2">
        <f>COUNTA('16 - Bosses'!$B$5:$B$10000)</f>
        <v>54</v>
      </c>
      <c r="D21" s="2">
        <f>COUNTIF('16 - Bosses'!$A$5:$A$10000,"☑")</f>
        <v>0</v>
      </c>
      <c r="E21" s="2">
        <f t="shared" si="0"/>
        <v>54</v>
      </c>
      <c r="F21" s="6">
        <f t="shared" si="1"/>
        <v>0</v>
      </c>
    </row>
    <row r="22" spans="1:6" x14ac:dyDescent="0.25">
      <c r="A22" s="2" t="s">
        <v>42</v>
      </c>
      <c r="B22" s="2" t="s">
        <v>43</v>
      </c>
      <c r="C22" s="2">
        <f>COUNTA('17 - NPCs'!$B$5:$B$10000)</f>
        <v>24</v>
      </c>
      <c r="D22" s="2">
        <f>COUNTIF('17 - NPCs'!$A$5:$A$10000,"☑")</f>
        <v>0</v>
      </c>
      <c r="E22" s="2">
        <f t="shared" si="0"/>
        <v>24</v>
      </c>
      <c r="F22" s="6">
        <f t="shared" si="1"/>
        <v>0</v>
      </c>
    </row>
    <row r="23" spans="1:6" x14ac:dyDescent="0.25">
      <c r="A23" s="2" t="s">
        <v>44</v>
      </c>
      <c r="B23" s="2" t="s">
        <v>45</v>
      </c>
      <c r="C23" s="2">
        <f>COUNTA('18 - Board Blocks'!$B$5:$B$10000)</f>
        <v>86</v>
      </c>
      <c r="D23" s="2">
        <f>COUNTIF('18 - Board Blocks'!$A$5:$A$10000,"☑")</f>
        <v>0</v>
      </c>
      <c r="E23" s="2">
        <f t="shared" si="0"/>
        <v>86</v>
      </c>
      <c r="F23" s="6">
        <f t="shared" si="1"/>
        <v>0</v>
      </c>
    </row>
    <row r="24" spans="1:6" x14ac:dyDescent="0.25">
      <c r="A24" s="2" t="s">
        <v>46</v>
      </c>
      <c r="B24" s="2" t="s">
        <v>47</v>
      </c>
      <c r="C24" s="2">
        <f>COUNTA('19 and VFX - Spells'!$B$5:$B$10000)</f>
        <v>45</v>
      </c>
      <c r="D24" s="2">
        <f>COUNTIF('19 and VFX - Spells'!$A$5:$A$10000,"☑")</f>
        <v>0</v>
      </c>
      <c r="E24" s="2">
        <f t="shared" si="0"/>
        <v>45</v>
      </c>
      <c r="F24" s="6">
        <f t="shared" si="1"/>
        <v>0</v>
      </c>
    </row>
    <row r="25" spans="1:6" x14ac:dyDescent="0.25">
      <c r="A25" s="2" t="s">
        <v>48</v>
      </c>
      <c r="B25" s="2" t="s">
        <v>49</v>
      </c>
      <c r="C25" s="2">
        <f>COUNTA('20 - Items'!$B$5:$B$10000)</f>
        <v>52</v>
      </c>
      <c r="D25" s="2">
        <f>COUNTIF('20 - Items'!$A$5:$A$10000,"☑")</f>
        <v>0</v>
      </c>
      <c r="E25" s="2">
        <f t="shared" si="0"/>
        <v>52</v>
      </c>
      <c r="F25" s="6">
        <f t="shared" si="1"/>
        <v>0</v>
      </c>
    </row>
    <row r="26" spans="1:6" x14ac:dyDescent="0.25">
      <c r="A26" s="2" t="s">
        <v>50</v>
      </c>
      <c r="B26" s="2" t="s">
        <v>51</v>
      </c>
      <c r="C26" s="2">
        <f>COUNTA('21 - Relics'!$B$5:$B$10000)</f>
        <v>15</v>
      </c>
      <c r="D26" s="2">
        <f>COUNTIF('21 - Relics'!$A$5:$A$10000,"☑")</f>
        <v>0</v>
      </c>
      <c r="E26" s="2">
        <f t="shared" si="0"/>
        <v>15</v>
      </c>
      <c r="F26" s="6">
        <f t="shared" si="1"/>
        <v>0</v>
      </c>
    </row>
    <row r="27" spans="1:6" x14ac:dyDescent="0.25">
      <c r="A27" s="2" t="s">
        <v>52</v>
      </c>
      <c r="B27" s="2" t="s">
        <v>53</v>
      </c>
      <c r="C27" s="2">
        <f>COUNTA('22 - Upgrades'!$B$5:$B$10000)</f>
        <v>15</v>
      </c>
      <c r="D27" s="2">
        <f>COUNTIF('22 - Upgrades'!$A$5:$A$10000,"☑")</f>
        <v>0</v>
      </c>
      <c r="E27" s="2">
        <f t="shared" si="0"/>
        <v>15</v>
      </c>
      <c r="F27" s="6">
        <f t="shared" si="1"/>
        <v>0</v>
      </c>
    </row>
    <row r="28" spans="1:6" x14ac:dyDescent="0.25">
      <c r="A28" s="2" t="s">
        <v>54</v>
      </c>
      <c r="B28" s="2" t="s">
        <v>55</v>
      </c>
      <c r="C28" s="2">
        <f>COUNTA('23 and - Weapons'!$B$5:$B$10000)</f>
        <v>20</v>
      </c>
      <c r="D28" s="2">
        <f>COUNTIF('23 and - Weapons'!$A$5:$A$10000,"☑")</f>
        <v>0</v>
      </c>
      <c r="E28" s="2">
        <f t="shared" si="0"/>
        <v>20</v>
      </c>
      <c r="F28" s="6">
        <f t="shared" si="1"/>
        <v>0</v>
      </c>
    </row>
    <row r="29" spans="1:6" x14ac:dyDescent="0.25">
      <c r="A29" s="2" t="s">
        <v>56</v>
      </c>
      <c r="B29" s="2" t="s">
        <v>57</v>
      </c>
      <c r="C29" s="2">
        <f>COUNTA('24 - Status Effects'!$B$5:$B$10000)</f>
        <v>10</v>
      </c>
      <c r="D29" s="2">
        <f>COUNTIF('24 - Status Effects'!$A$5:$A$10000,"☑")</f>
        <v>0</v>
      </c>
      <c r="E29" s="2">
        <f t="shared" si="0"/>
        <v>10</v>
      </c>
      <c r="F29" s="6">
        <f t="shared" si="1"/>
        <v>0</v>
      </c>
    </row>
    <row r="30" spans="1:6" x14ac:dyDescent="0.25">
      <c r="A30" s="2" t="s">
        <v>58</v>
      </c>
      <c r="B30" s="2" t="s">
        <v>59</v>
      </c>
      <c r="C30" s="2">
        <f>COUNTA('25 - Oopsies'!$B$5:$B$10000)</f>
        <v>8</v>
      </c>
      <c r="D30" s="2">
        <f>COUNTIF('25 - Oopsies'!$A$5:$A$10000,"☑")</f>
        <v>0</v>
      </c>
      <c r="E30" s="2">
        <f t="shared" si="0"/>
        <v>8</v>
      </c>
      <c r="F30" s="6">
        <f t="shared" si="1"/>
        <v>0</v>
      </c>
    </row>
    <row r="31" spans="1:6" x14ac:dyDescent="0.25">
      <c r="A31" s="2" t="s">
        <v>60</v>
      </c>
      <c r="B31" s="2" t="s">
        <v>61</v>
      </c>
      <c r="C31" s="2">
        <f>COUNTA('26 - Festival Chaos Rules'!$B$5:$B$10000)</f>
        <v>8</v>
      </c>
      <c r="D31" s="2">
        <f>COUNTIF('26 - Festival Chaos Rules'!$A$5:$A$10000,"☑")</f>
        <v>0</v>
      </c>
      <c r="E31" s="2">
        <f t="shared" si="0"/>
        <v>8</v>
      </c>
      <c r="F31" s="6">
        <f t="shared" si="1"/>
        <v>0</v>
      </c>
    </row>
    <row r="32" spans="1:6" x14ac:dyDescent="0.25">
      <c r="A32" s="2" t="s">
        <v>62</v>
      </c>
      <c r="B32" s="2" t="s">
        <v>63</v>
      </c>
      <c r="C32" s="2">
        <f>COUNTA('27 - Battle Objectives'!$B$5:$B$10000)</f>
        <v>10</v>
      </c>
      <c r="D32" s="2">
        <f>COUNTIF('27 - Battle Objectives'!$A$5:$A$10000,"☑")</f>
        <v>0</v>
      </c>
      <c r="E32" s="2">
        <f t="shared" si="0"/>
        <v>10</v>
      </c>
      <c r="F32" s="6">
        <f t="shared" si="1"/>
        <v>0</v>
      </c>
    </row>
    <row r="33" spans="1:6" x14ac:dyDescent="0.25">
      <c r="A33" s="2" t="s">
        <v>64</v>
      </c>
      <c r="B33" s="2" t="s">
        <v>65</v>
      </c>
      <c r="C33" s="2">
        <f>COUNTA('28 - Events'!$B$5:$B$10000)</f>
        <v>28</v>
      </c>
      <c r="D33" s="2">
        <f>COUNTIF('28 - Events'!$A$5:$A$10000,"☑")</f>
        <v>0</v>
      </c>
      <c r="E33" s="2">
        <f t="shared" si="0"/>
        <v>28</v>
      </c>
      <c r="F33" s="6">
        <f t="shared" si="1"/>
        <v>0</v>
      </c>
    </row>
    <row r="34" spans="1:6" x14ac:dyDescent="0.25">
      <c r="A34" s="2" t="s">
        <v>66</v>
      </c>
      <c r="B34" s="2" t="s">
        <v>67</v>
      </c>
      <c r="C34" s="2">
        <f>COUNTA('29 - Boss Rule Cards'!$B$5:$B$10000)</f>
        <v>6</v>
      </c>
      <c r="D34" s="2">
        <f>COUNTIF('29 - Boss Rule Cards'!$A$5:$A$10000,"☑")</f>
        <v>0</v>
      </c>
      <c r="E34" s="2">
        <f t="shared" si="0"/>
        <v>6</v>
      </c>
      <c r="F34" s="6">
        <f t="shared" si="1"/>
        <v>0</v>
      </c>
    </row>
    <row r="35" spans="1:6" x14ac:dyDescent="0.25">
      <c r="A35" s="2" t="s">
        <v>68</v>
      </c>
      <c r="B35" s="2" t="s">
        <v>69</v>
      </c>
      <c r="C35" s="2">
        <f>COUNTA('30 - Currency Collect'!$B$5:$B$10000)</f>
        <v>8</v>
      </c>
      <c r="D35" s="2">
        <f>COUNTIF('30 - Currency Collect'!$A$5:$A$10000,"☑")</f>
        <v>0</v>
      </c>
      <c r="E35" s="2">
        <f t="shared" si="0"/>
        <v>8</v>
      </c>
      <c r="F35" s="6">
        <f t="shared" si="1"/>
        <v>0</v>
      </c>
    </row>
    <row r="36" spans="1:6" x14ac:dyDescent="0.25">
      <c r="A36" s="2" t="s">
        <v>70</v>
      </c>
      <c r="B36" s="2" t="s">
        <v>71</v>
      </c>
      <c r="C36" s="2">
        <f>COUNTA('31 and - Hub Buildings'!$B$5:$B$10000)</f>
        <v>40</v>
      </c>
      <c r="D36" s="2">
        <f>COUNTIF('31 and - Hub Buildings'!$A$5:$A$10000,"☑")</f>
        <v>0</v>
      </c>
      <c r="E36" s="2">
        <f t="shared" si="0"/>
        <v>40</v>
      </c>
      <c r="F36" s="6">
        <f t="shared" si="1"/>
        <v>0</v>
      </c>
    </row>
    <row r="37" spans="1:6" x14ac:dyDescent="0.25">
      <c r="A37" s="2" t="s">
        <v>72</v>
      </c>
      <c r="B37" s="2" t="s">
        <v>73</v>
      </c>
      <c r="C37" s="2">
        <f>COUNTA('32 UI - Panels Frames'!$B$5:$B$10000)</f>
        <v>16</v>
      </c>
      <c r="D37" s="2">
        <f>COUNTIF('32 UI - Panels Frames'!$A$5:$A$10000,"☑")</f>
        <v>0</v>
      </c>
      <c r="E37" s="2">
        <f t="shared" si="0"/>
        <v>16</v>
      </c>
      <c r="F37" s="6">
        <f t="shared" si="1"/>
        <v>0</v>
      </c>
    </row>
    <row r="38" spans="1:6" x14ac:dyDescent="0.25">
      <c r="A38" s="2" t="s">
        <v>74</v>
      </c>
      <c r="B38" s="2" t="s">
        <v>75</v>
      </c>
      <c r="C38" s="2">
        <f>COUNTA('33 UI - Buttons'!$B$5:$B$10000)</f>
        <v>14</v>
      </c>
      <c r="D38" s="2">
        <f>COUNTIF('33 UI - Buttons'!$A$5:$A$10000,"☑")</f>
        <v>0</v>
      </c>
      <c r="E38" s="2">
        <f t="shared" si="0"/>
        <v>14</v>
      </c>
      <c r="F38" s="6">
        <f t="shared" si="1"/>
        <v>0</v>
      </c>
    </row>
    <row r="39" spans="1:6" x14ac:dyDescent="0.25">
      <c r="A39" s="2" t="s">
        <v>76</v>
      </c>
      <c r="B39" s="2" t="s">
        <v>77</v>
      </c>
      <c r="C39" s="2">
        <f>COUNTA('34 UI - Controls'!$B$5:$B$10000)</f>
        <v>14</v>
      </c>
      <c r="D39" s="2">
        <f>COUNTIF('34 UI - Controls'!$A$5:$A$10000,"☑")</f>
        <v>0</v>
      </c>
      <c r="E39" s="2">
        <f t="shared" si="0"/>
        <v>14</v>
      </c>
      <c r="F39" s="6">
        <f t="shared" si="1"/>
        <v>0</v>
      </c>
    </row>
    <row r="40" spans="1:6" x14ac:dyDescent="0.25">
      <c r="A40" s="2" t="s">
        <v>78</v>
      </c>
      <c r="B40" s="2" t="s">
        <v>79</v>
      </c>
      <c r="C40" s="2">
        <f>COUNTA('35 UI - HUD'!$B$5:$B$10000)</f>
        <v>15</v>
      </c>
      <c r="D40" s="2">
        <f>COUNTIF('35 UI - HUD'!$A$5:$A$10000,"☑")</f>
        <v>0</v>
      </c>
      <c r="E40" s="2">
        <f t="shared" si="0"/>
        <v>15</v>
      </c>
      <c r="F40" s="6">
        <f t="shared" si="1"/>
        <v>0</v>
      </c>
    </row>
    <row r="41" spans="1:6" x14ac:dyDescent="0.25">
      <c r="A41" s="2" t="s">
        <v>80</v>
      </c>
      <c r="B41" s="2" t="s">
        <v>81</v>
      </c>
      <c r="C41" s="2">
        <f>COUNTA('36 VFX - VFX'!$B$5:$B$10000)</f>
        <v>29</v>
      </c>
      <c r="D41" s="2">
        <f>COUNTIF('36 VFX - VFX'!$A$5:$A$10000,"☑")</f>
        <v>0</v>
      </c>
      <c r="E41" s="2">
        <f t="shared" si="0"/>
        <v>29</v>
      </c>
      <c r="F41" s="6">
        <f t="shared" si="1"/>
        <v>0</v>
      </c>
    </row>
    <row r="42" spans="1:6" x14ac:dyDescent="0.25">
      <c r="A42" s="2" t="s">
        <v>82</v>
      </c>
      <c r="B42" s="2" t="s">
        <v>83</v>
      </c>
      <c r="C42" s="2">
        <f>COUNTA('37 Font'!$B$5:$B$10000)</f>
        <v>4</v>
      </c>
      <c r="D42" s="2">
        <f>COUNTIF('37 Font'!$A$5:$A$10000,"☑")</f>
        <v>0</v>
      </c>
      <c r="E42" s="2">
        <f t="shared" si="0"/>
        <v>4</v>
      </c>
      <c r="F42" s="6">
        <f t="shared" si="1"/>
        <v>0</v>
      </c>
    </row>
    <row r="43" spans="1:6" x14ac:dyDescent="0.25">
      <c r="A43" s="2" t="s">
        <v>84</v>
      </c>
      <c r="B43" s="2" t="s">
        <v>85</v>
      </c>
      <c r="C43" s="2">
        <f>COUNTA('38 Store'!$B$5:$B$10000)</f>
        <v>11</v>
      </c>
      <c r="D43" s="2">
        <f>COUNTIF('38 Store'!$A$5:$A$10000,"☑")</f>
        <v>0</v>
      </c>
      <c r="E43" s="2">
        <f t="shared" si="0"/>
        <v>11</v>
      </c>
      <c r="F43" s="6">
        <f t="shared" si="1"/>
        <v>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21" sqref="B2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9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93</v>
      </c>
      <c r="C5" s="3" t="s">
        <v>94</v>
      </c>
      <c r="D5" s="3" t="s">
        <v>95</v>
      </c>
      <c r="E5" s="3" t="s">
        <v>96</v>
      </c>
    </row>
    <row r="6" spans="1:5" ht="30" x14ac:dyDescent="0.25">
      <c r="A6" s="5" t="s">
        <v>92</v>
      </c>
      <c r="B6" s="3" t="s">
        <v>97</v>
      </c>
      <c r="C6" s="3" t="s">
        <v>98</v>
      </c>
      <c r="D6" s="3" t="s">
        <v>99</v>
      </c>
      <c r="E6" s="3" t="s">
        <v>96</v>
      </c>
    </row>
    <row r="7" spans="1:5" ht="30" x14ac:dyDescent="0.25">
      <c r="A7" s="5" t="s">
        <v>92</v>
      </c>
      <c r="B7" s="3" t="s">
        <v>100</v>
      </c>
      <c r="C7" s="3" t="s">
        <v>101</v>
      </c>
      <c r="D7" s="3" t="s">
        <v>102</v>
      </c>
      <c r="E7" s="3" t="s">
        <v>96</v>
      </c>
    </row>
    <row r="8" spans="1:5" ht="30" x14ac:dyDescent="0.25">
      <c r="A8" s="5" t="s">
        <v>92</v>
      </c>
      <c r="B8" s="3" t="s">
        <v>103</v>
      </c>
      <c r="C8" s="3" t="s">
        <v>104</v>
      </c>
      <c r="D8" s="3" t="s">
        <v>105</v>
      </c>
      <c r="E8" s="3" t="s">
        <v>96</v>
      </c>
    </row>
    <row r="9" spans="1:5" ht="30" x14ac:dyDescent="0.25">
      <c r="A9" s="5" t="s">
        <v>92</v>
      </c>
      <c r="B9" s="3" t="s">
        <v>106</v>
      </c>
      <c r="C9" s="3" t="s">
        <v>107</v>
      </c>
      <c r="D9" s="3" t="s">
        <v>108</v>
      </c>
      <c r="E9" s="3" t="s">
        <v>96</v>
      </c>
    </row>
    <row r="10" spans="1:5" ht="30" x14ac:dyDescent="0.25">
      <c r="A10" s="5" t="s">
        <v>92</v>
      </c>
      <c r="B10" s="3" t="s">
        <v>109</v>
      </c>
      <c r="C10" s="3" t="s">
        <v>110</v>
      </c>
      <c r="D10" s="3" t="s">
        <v>111</v>
      </c>
      <c r="E10" s="3" t="s">
        <v>96</v>
      </c>
    </row>
  </sheetData>
  <mergeCells count="2">
    <mergeCell ref="A1:E1"/>
    <mergeCell ref="A2:E2"/>
  </mergeCells>
  <conditionalFormatting sqref="A5:A10">
    <cfRule type="expression" dxfId="155" priority="1">
      <formula>A5="☑"</formula>
    </cfRule>
  </conditionalFormatting>
  <conditionalFormatting sqref="E5:E10">
    <cfRule type="expression" dxfId="154" priority="2">
      <formula>$E5="P0"</formula>
    </cfRule>
    <cfRule type="expression" dxfId="153" priority="3">
      <formula>$E5="P1"</formula>
    </cfRule>
    <cfRule type="expression" dxfId="152" priority="4">
      <formula>$E5="P2"</formula>
    </cfRule>
  </conditionalFormatting>
  <dataValidations count="1">
    <dataValidation type="list" sqref="A5:A10" xr:uid="{00000000-0002-0000-01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11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113</v>
      </c>
      <c r="C5" s="3" t="s">
        <v>114</v>
      </c>
      <c r="D5" s="3" t="s">
        <v>115</v>
      </c>
      <c r="E5" s="3" t="s">
        <v>116</v>
      </c>
    </row>
    <row r="6" spans="1:5" x14ac:dyDescent="0.25">
      <c r="A6" s="5" t="s">
        <v>92</v>
      </c>
      <c r="B6" s="3" t="s">
        <v>117</v>
      </c>
      <c r="C6" s="3" t="s">
        <v>114</v>
      </c>
      <c r="D6" s="3" t="s">
        <v>118</v>
      </c>
      <c r="E6" s="3" t="s">
        <v>116</v>
      </c>
    </row>
    <row r="7" spans="1:5" x14ac:dyDescent="0.25">
      <c r="A7" s="5" t="s">
        <v>92</v>
      </c>
      <c r="B7" s="3" t="s">
        <v>119</v>
      </c>
      <c r="C7" s="3" t="s">
        <v>114</v>
      </c>
      <c r="D7" s="3" t="s">
        <v>120</v>
      </c>
      <c r="E7" s="3" t="s">
        <v>121</v>
      </c>
    </row>
    <row r="8" spans="1:5" x14ac:dyDescent="0.25">
      <c r="A8" s="5" t="s">
        <v>92</v>
      </c>
      <c r="B8" s="3" t="s">
        <v>122</v>
      </c>
      <c r="C8" s="3" t="s">
        <v>114</v>
      </c>
      <c r="D8" s="3" t="s">
        <v>123</v>
      </c>
      <c r="E8" s="3" t="s">
        <v>116</v>
      </c>
    </row>
    <row r="9" spans="1:5" x14ac:dyDescent="0.25">
      <c r="A9" s="5" t="s">
        <v>92</v>
      </c>
      <c r="B9" s="3" t="s">
        <v>124</v>
      </c>
      <c r="C9" s="3" t="s">
        <v>114</v>
      </c>
      <c r="D9" s="3" t="s">
        <v>125</v>
      </c>
      <c r="E9" s="3" t="s">
        <v>121</v>
      </c>
    </row>
    <row r="10" spans="1:5" x14ac:dyDescent="0.25">
      <c r="A10" s="5" t="s">
        <v>92</v>
      </c>
      <c r="B10" s="3" t="s">
        <v>126</v>
      </c>
      <c r="C10" s="3" t="s">
        <v>114</v>
      </c>
      <c r="D10" s="3" t="s">
        <v>127</v>
      </c>
      <c r="E10" s="3" t="s">
        <v>121</v>
      </c>
    </row>
    <row r="11" spans="1:5" x14ac:dyDescent="0.25">
      <c r="A11" s="5" t="s">
        <v>92</v>
      </c>
      <c r="B11" s="3" t="s">
        <v>128</v>
      </c>
      <c r="C11" s="3" t="s">
        <v>114</v>
      </c>
      <c r="D11" s="3" t="s">
        <v>129</v>
      </c>
      <c r="E11" s="3" t="s">
        <v>121</v>
      </c>
    </row>
    <row r="12" spans="1:5" x14ac:dyDescent="0.25">
      <c r="A12" s="5" t="s">
        <v>92</v>
      </c>
      <c r="B12" s="3" t="s">
        <v>130</v>
      </c>
      <c r="C12" s="3" t="s">
        <v>114</v>
      </c>
      <c r="D12" s="3" t="s">
        <v>131</v>
      </c>
      <c r="E12" s="3" t="s">
        <v>121</v>
      </c>
    </row>
    <row r="13" spans="1:5" x14ac:dyDescent="0.25">
      <c r="A13" s="5" t="s">
        <v>92</v>
      </c>
      <c r="B13" s="3" t="s">
        <v>132</v>
      </c>
      <c r="C13" s="3" t="s">
        <v>114</v>
      </c>
      <c r="D13" s="3" t="s">
        <v>133</v>
      </c>
      <c r="E13" s="3" t="s">
        <v>121</v>
      </c>
    </row>
    <row r="14" spans="1:5" x14ac:dyDescent="0.25">
      <c r="A14" s="5" t="s">
        <v>92</v>
      </c>
      <c r="B14" s="3" t="s">
        <v>134</v>
      </c>
      <c r="C14" s="3" t="s">
        <v>114</v>
      </c>
      <c r="D14" s="3" t="s">
        <v>135</v>
      </c>
      <c r="E14" s="3" t="s">
        <v>121</v>
      </c>
    </row>
    <row r="15" spans="1:5" x14ac:dyDescent="0.25">
      <c r="A15" s="5" t="s">
        <v>92</v>
      </c>
      <c r="B15" s="3" t="s">
        <v>136</v>
      </c>
      <c r="C15" s="3" t="s">
        <v>114</v>
      </c>
      <c r="D15" s="3" t="s">
        <v>137</v>
      </c>
      <c r="E15" s="3" t="s">
        <v>116</v>
      </c>
    </row>
    <row r="16" spans="1:5" x14ac:dyDescent="0.25">
      <c r="A16" s="5" t="s">
        <v>92</v>
      </c>
      <c r="B16" s="3" t="s">
        <v>138</v>
      </c>
      <c r="C16" s="3" t="s">
        <v>114</v>
      </c>
      <c r="D16" s="3" t="s">
        <v>139</v>
      </c>
      <c r="E16" s="3" t="s">
        <v>116</v>
      </c>
    </row>
    <row r="17" spans="1:5" x14ac:dyDescent="0.25">
      <c r="A17" s="5" t="s">
        <v>92</v>
      </c>
      <c r="B17" s="3" t="s">
        <v>140</v>
      </c>
      <c r="C17" s="3" t="s">
        <v>114</v>
      </c>
      <c r="D17" s="3" t="s">
        <v>141</v>
      </c>
      <c r="E17" s="3" t="s">
        <v>142</v>
      </c>
    </row>
    <row r="18" spans="1:5" x14ac:dyDescent="0.25">
      <c r="A18" s="5" t="s">
        <v>92</v>
      </c>
      <c r="B18" s="3" t="s">
        <v>143</v>
      </c>
      <c r="C18" s="3" t="s">
        <v>114</v>
      </c>
      <c r="D18" s="3" t="s">
        <v>144</v>
      </c>
      <c r="E18" s="3" t="s">
        <v>142</v>
      </c>
    </row>
    <row r="19" spans="1:5" x14ac:dyDescent="0.25">
      <c r="A19" s="5" t="s">
        <v>92</v>
      </c>
      <c r="B19" s="3" t="s">
        <v>145</v>
      </c>
      <c r="C19" s="3" t="s">
        <v>114</v>
      </c>
      <c r="D19" s="3" t="s">
        <v>146</v>
      </c>
      <c r="E19" s="3" t="s">
        <v>116</v>
      </c>
    </row>
    <row r="20" spans="1:5" x14ac:dyDescent="0.25">
      <c r="A20" s="5" t="s">
        <v>92</v>
      </c>
      <c r="B20" s="3" t="s">
        <v>147</v>
      </c>
      <c r="C20" s="3" t="s">
        <v>114</v>
      </c>
      <c r="D20" s="3" t="s">
        <v>148</v>
      </c>
      <c r="E20" s="3" t="s">
        <v>116</v>
      </c>
    </row>
    <row r="21" spans="1:5" x14ac:dyDescent="0.25">
      <c r="A21" s="5" t="s">
        <v>92</v>
      </c>
      <c r="B21" s="3" t="s">
        <v>149</v>
      </c>
      <c r="C21" s="3" t="s">
        <v>114</v>
      </c>
      <c r="D21" s="3" t="s">
        <v>150</v>
      </c>
      <c r="E21" s="3" t="s">
        <v>121</v>
      </c>
    </row>
    <row r="22" spans="1:5" x14ac:dyDescent="0.25">
      <c r="A22" s="5" t="s">
        <v>92</v>
      </c>
      <c r="B22" s="3" t="s">
        <v>151</v>
      </c>
      <c r="C22" s="3" t="s">
        <v>114</v>
      </c>
      <c r="D22" s="3" t="s">
        <v>152</v>
      </c>
      <c r="E22" s="3" t="s">
        <v>121</v>
      </c>
    </row>
    <row r="23" spans="1:5" x14ac:dyDescent="0.25">
      <c r="A23" s="5" t="s">
        <v>92</v>
      </c>
      <c r="B23" s="3" t="s">
        <v>153</v>
      </c>
      <c r="C23" s="3" t="s">
        <v>114</v>
      </c>
      <c r="D23" s="3" t="s">
        <v>154</v>
      </c>
      <c r="E23" s="3" t="s">
        <v>121</v>
      </c>
    </row>
    <row r="24" spans="1:5" x14ac:dyDescent="0.25">
      <c r="A24" s="5" t="s">
        <v>92</v>
      </c>
      <c r="B24" s="3" t="s">
        <v>155</v>
      </c>
      <c r="C24" s="3" t="s">
        <v>114</v>
      </c>
      <c r="D24" s="3" t="s">
        <v>156</v>
      </c>
      <c r="E24" s="3" t="s">
        <v>121</v>
      </c>
    </row>
    <row r="25" spans="1:5" x14ac:dyDescent="0.25">
      <c r="A25" s="5" t="s">
        <v>92</v>
      </c>
      <c r="B25" s="3" t="s">
        <v>157</v>
      </c>
      <c r="C25" s="3" t="s">
        <v>114</v>
      </c>
      <c r="D25" s="3" t="s">
        <v>158</v>
      </c>
      <c r="E25" s="3" t="s">
        <v>116</v>
      </c>
    </row>
    <row r="26" spans="1:5" x14ac:dyDescent="0.25">
      <c r="A26" s="5" t="s">
        <v>92</v>
      </c>
      <c r="B26" s="3" t="s">
        <v>159</v>
      </c>
      <c r="C26" s="3" t="s">
        <v>114</v>
      </c>
      <c r="D26" s="3" t="s">
        <v>160</v>
      </c>
      <c r="E26" s="3" t="s">
        <v>121</v>
      </c>
    </row>
    <row r="27" spans="1:5" x14ac:dyDescent="0.25">
      <c r="A27" s="5" t="s">
        <v>92</v>
      </c>
      <c r="B27" s="3" t="s">
        <v>161</v>
      </c>
      <c r="C27" s="3" t="s">
        <v>114</v>
      </c>
      <c r="D27" s="3" t="s">
        <v>162</v>
      </c>
      <c r="E27" s="3" t="s">
        <v>121</v>
      </c>
    </row>
    <row r="28" spans="1:5" x14ac:dyDescent="0.25">
      <c r="A28" s="5" t="s">
        <v>92</v>
      </c>
      <c r="B28" s="3" t="s">
        <v>163</v>
      </c>
      <c r="C28" s="3" t="s">
        <v>114</v>
      </c>
      <c r="D28" s="3" t="s">
        <v>164</v>
      </c>
      <c r="E28" s="3" t="s">
        <v>121</v>
      </c>
    </row>
    <row r="29" spans="1:5" x14ac:dyDescent="0.25">
      <c r="A29" s="5" t="s">
        <v>92</v>
      </c>
      <c r="B29" s="3" t="s">
        <v>165</v>
      </c>
      <c r="C29" s="3" t="s">
        <v>114</v>
      </c>
      <c r="D29" s="3" t="s">
        <v>166</v>
      </c>
      <c r="E29" s="3" t="s">
        <v>121</v>
      </c>
    </row>
    <row r="30" spans="1:5" x14ac:dyDescent="0.25">
      <c r="A30" s="5" t="s">
        <v>92</v>
      </c>
      <c r="B30" s="3" t="s">
        <v>167</v>
      </c>
      <c r="C30" s="3" t="s">
        <v>114</v>
      </c>
      <c r="D30" s="3" t="s">
        <v>168</v>
      </c>
      <c r="E30" s="3" t="s">
        <v>116</v>
      </c>
    </row>
  </sheetData>
  <mergeCells count="2">
    <mergeCell ref="A1:E1"/>
    <mergeCell ref="A2:E2"/>
  </mergeCells>
  <conditionalFormatting sqref="A5:A30">
    <cfRule type="expression" dxfId="151" priority="1">
      <formula>A5="☑"</formula>
    </cfRule>
  </conditionalFormatting>
  <conditionalFormatting sqref="E5:E30">
    <cfRule type="expression" dxfId="150" priority="2">
      <formula>$E5="P0"</formula>
    </cfRule>
    <cfRule type="expression" dxfId="149" priority="3">
      <formula>$E5="P1"</formula>
    </cfRule>
    <cfRule type="expression" dxfId="148" priority="4">
      <formula>$E5="P2"</formula>
    </cfRule>
  </conditionalFormatting>
  <dataValidations count="1">
    <dataValidation type="list" sqref="A5:A30" xr:uid="{00000000-0002-0000-02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13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169</v>
      </c>
      <c r="C5" s="3" t="s">
        <v>170</v>
      </c>
      <c r="D5" s="3" t="s">
        <v>171</v>
      </c>
      <c r="E5" s="3" t="s">
        <v>121</v>
      </c>
    </row>
    <row r="6" spans="1:5" x14ac:dyDescent="0.25">
      <c r="A6" s="5" t="s">
        <v>92</v>
      </c>
      <c r="B6" s="3" t="s">
        <v>172</v>
      </c>
      <c r="C6" s="3" t="s">
        <v>170</v>
      </c>
      <c r="D6" s="3" t="s">
        <v>173</v>
      </c>
      <c r="E6" s="3" t="s">
        <v>121</v>
      </c>
    </row>
    <row r="7" spans="1:5" x14ac:dyDescent="0.25">
      <c r="A7" s="5" t="s">
        <v>92</v>
      </c>
      <c r="B7" s="3" t="s">
        <v>174</v>
      </c>
      <c r="C7" s="3" t="s">
        <v>170</v>
      </c>
      <c r="D7" s="3" t="s">
        <v>175</v>
      </c>
      <c r="E7" s="3" t="s">
        <v>121</v>
      </c>
    </row>
    <row r="8" spans="1:5" x14ac:dyDescent="0.25">
      <c r="A8" s="5" t="s">
        <v>92</v>
      </c>
      <c r="B8" s="3" t="s">
        <v>176</v>
      </c>
      <c r="C8" s="3" t="s">
        <v>170</v>
      </c>
      <c r="D8" s="3" t="s">
        <v>177</v>
      </c>
      <c r="E8" s="3" t="s">
        <v>121</v>
      </c>
    </row>
    <row r="9" spans="1:5" x14ac:dyDescent="0.25">
      <c r="A9" s="5" t="s">
        <v>92</v>
      </c>
      <c r="B9" s="3" t="s">
        <v>178</v>
      </c>
      <c r="C9" s="3" t="s">
        <v>170</v>
      </c>
      <c r="D9" s="3" t="s">
        <v>179</v>
      </c>
      <c r="E9" s="3" t="s">
        <v>142</v>
      </c>
    </row>
    <row r="10" spans="1:5" x14ac:dyDescent="0.25">
      <c r="A10" s="5" t="s">
        <v>92</v>
      </c>
      <c r="B10" s="3" t="s">
        <v>180</v>
      </c>
      <c r="C10" s="3" t="s">
        <v>170</v>
      </c>
      <c r="D10" s="3" t="s">
        <v>181</v>
      </c>
      <c r="E10" s="3" t="s">
        <v>142</v>
      </c>
    </row>
    <row r="11" spans="1:5" x14ac:dyDescent="0.25">
      <c r="A11" s="5" t="s">
        <v>92</v>
      </c>
      <c r="B11" s="3" t="s">
        <v>182</v>
      </c>
      <c r="C11" s="3" t="s">
        <v>170</v>
      </c>
      <c r="D11" s="3" t="s">
        <v>183</v>
      </c>
      <c r="E11" s="3" t="s">
        <v>142</v>
      </c>
    </row>
    <row r="12" spans="1:5" x14ac:dyDescent="0.25">
      <c r="A12" s="5" t="s">
        <v>92</v>
      </c>
      <c r="B12" s="3" t="s">
        <v>184</v>
      </c>
      <c r="C12" s="3" t="s">
        <v>170</v>
      </c>
      <c r="D12" s="3" t="s">
        <v>185</v>
      </c>
      <c r="E12" s="3" t="s">
        <v>142</v>
      </c>
    </row>
    <row r="13" spans="1:5" x14ac:dyDescent="0.25">
      <c r="A13" s="5" t="s">
        <v>92</v>
      </c>
      <c r="B13" s="3" t="s">
        <v>186</v>
      </c>
      <c r="C13" s="3" t="s">
        <v>170</v>
      </c>
      <c r="D13" s="3" t="s">
        <v>187</v>
      </c>
      <c r="E13" s="3" t="s">
        <v>142</v>
      </c>
    </row>
  </sheetData>
  <mergeCells count="2">
    <mergeCell ref="A1:E1"/>
    <mergeCell ref="A2:E2"/>
  </mergeCells>
  <conditionalFormatting sqref="A5:A13">
    <cfRule type="expression" dxfId="147" priority="1">
      <formula>A5="☑"</formula>
    </cfRule>
  </conditionalFormatting>
  <conditionalFormatting sqref="E5:E13">
    <cfRule type="expression" dxfId="146" priority="2">
      <formula>$E5="P0"</formula>
    </cfRule>
    <cfRule type="expression" dxfId="145" priority="3">
      <formula>$E5="P1"</formula>
    </cfRule>
    <cfRule type="expression" dxfId="144" priority="4">
      <formula>$E5="P2"</formula>
    </cfRule>
  </conditionalFormatting>
  <dataValidations count="1">
    <dataValidation type="list" sqref="A5:A13" xr:uid="{00000000-0002-0000-03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15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188</v>
      </c>
      <c r="C5" s="3" t="s">
        <v>189</v>
      </c>
      <c r="D5" s="3" t="s">
        <v>190</v>
      </c>
      <c r="E5" s="3" t="s">
        <v>116</v>
      </c>
    </row>
    <row r="6" spans="1:5" x14ac:dyDescent="0.25">
      <c r="A6" s="5" t="s">
        <v>92</v>
      </c>
      <c r="B6" s="3" t="s">
        <v>191</v>
      </c>
      <c r="C6" s="3" t="s">
        <v>189</v>
      </c>
      <c r="D6" s="3" t="s">
        <v>192</v>
      </c>
      <c r="E6" s="3" t="s">
        <v>116</v>
      </c>
    </row>
    <row r="7" spans="1:5" x14ac:dyDescent="0.25">
      <c r="A7" s="5" t="s">
        <v>92</v>
      </c>
      <c r="B7" s="3" t="s">
        <v>193</v>
      </c>
      <c r="C7" s="3" t="s">
        <v>189</v>
      </c>
      <c r="D7" s="3" t="s">
        <v>194</v>
      </c>
      <c r="E7" s="3" t="s">
        <v>116</v>
      </c>
    </row>
    <row r="8" spans="1:5" x14ac:dyDescent="0.25">
      <c r="A8" s="5" t="s">
        <v>92</v>
      </c>
      <c r="B8" s="3" t="s">
        <v>195</v>
      </c>
      <c r="C8" s="3" t="s">
        <v>189</v>
      </c>
      <c r="D8" s="3" t="s">
        <v>196</v>
      </c>
      <c r="E8" s="3" t="s">
        <v>121</v>
      </c>
    </row>
    <row r="9" spans="1:5" x14ac:dyDescent="0.25">
      <c r="A9" s="5" t="s">
        <v>92</v>
      </c>
      <c r="B9" s="3" t="s">
        <v>197</v>
      </c>
      <c r="C9" s="3" t="s">
        <v>189</v>
      </c>
      <c r="D9" s="3" t="s">
        <v>198</v>
      </c>
      <c r="E9" s="3" t="s">
        <v>116</v>
      </c>
    </row>
    <row r="10" spans="1:5" x14ac:dyDescent="0.25">
      <c r="A10" s="5" t="s">
        <v>92</v>
      </c>
      <c r="B10" s="3" t="s">
        <v>199</v>
      </c>
      <c r="C10" s="3" t="s">
        <v>189</v>
      </c>
      <c r="D10" s="3" t="s">
        <v>200</v>
      </c>
      <c r="E10" s="3" t="s">
        <v>116</v>
      </c>
    </row>
    <row r="11" spans="1:5" x14ac:dyDescent="0.25">
      <c r="A11" s="5" t="s">
        <v>92</v>
      </c>
      <c r="B11" s="3" t="s">
        <v>201</v>
      </c>
      <c r="C11" s="3" t="s">
        <v>189</v>
      </c>
      <c r="D11" s="3" t="s">
        <v>202</v>
      </c>
      <c r="E11" s="3" t="s">
        <v>116</v>
      </c>
    </row>
    <row r="12" spans="1:5" x14ac:dyDescent="0.25">
      <c r="A12" s="5" t="s">
        <v>92</v>
      </c>
      <c r="B12" s="3" t="s">
        <v>203</v>
      </c>
      <c r="C12" s="3" t="s">
        <v>189</v>
      </c>
      <c r="D12" s="3" t="s">
        <v>204</v>
      </c>
      <c r="E12" s="3" t="s">
        <v>121</v>
      </c>
    </row>
    <row r="13" spans="1:5" x14ac:dyDescent="0.25">
      <c r="A13" s="5" t="s">
        <v>92</v>
      </c>
      <c r="B13" s="3" t="s">
        <v>205</v>
      </c>
      <c r="C13" s="3" t="s">
        <v>189</v>
      </c>
      <c r="D13" s="3" t="s">
        <v>206</v>
      </c>
      <c r="E13" s="3" t="s">
        <v>116</v>
      </c>
    </row>
    <row r="14" spans="1:5" x14ac:dyDescent="0.25">
      <c r="A14" s="5" t="s">
        <v>92</v>
      </c>
      <c r="B14" s="3" t="s">
        <v>207</v>
      </c>
      <c r="C14" s="3" t="s">
        <v>189</v>
      </c>
      <c r="D14" s="3" t="s">
        <v>208</v>
      </c>
      <c r="E14" s="3" t="s">
        <v>116</v>
      </c>
    </row>
    <row r="15" spans="1:5" x14ac:dyDescent="0.25">
      <c r="A15" s="5" t="s">
        <v>92</v>
      </c>
      <c r="B15" s="3" t="s">
        <v>209</v>
      </c>
      <c r="C15" s="3" t="s">
        <v>189</v>
      </c>
      <c r="D15" s="3" t="s">
        <v>210</v>
      </c>
      <c r="E15" s="3" t="s">
        <v>116</v>
      </c>
    </row>
    <row r="16" spans="1:5" x14ac:dyDescent="0.25">
      <c r="A16" s="5" t="s">
        <v>92</v>
      </c>
      <c r="B16" s="3" t="s">
        <v>211</v>
      </c>
      <c r="C16" s="3" t="s">
        <v>189</v>
      </c>
      <c r="D16" s="3" t="s">
        <v>212</v>
      </c>
      <c r="E16" s="3" t="s">
        <v>116</v>
      </c>
    </row>
    <row r="17" spans="1:5" x14ac:dyDescent="0.25">
      <c r="A17" s="5" t="s">
        <v>92</v>
      </c>
      <c r="B17" s="3" t="s">
        <v>213</v>
      </c>
      <c r="C17" s="3" t="s">
        <v>189</v>
      </c>
      <c r="D17" s="3" t="s">
        <v>214</v>
      </c>
      <c r="E17" s="3" t="s">
        <v>121</v>
      </c>
    </row>
    <row r="18" spans="1:5" x14ac:dyDescent="0.25">
      <c r="A18" s="5" t="s">
        <v>92</v>
      </c>
      <c r="B18" s="3" t="s">
        <v>215</v>
      </c>
      <c r="C18" s="3" t="s">
        <v>189</v>
      </c>
      <c r="D18" s="3" t="s">
        <v>216</v>
      </c>
      <c r="E18" s="3" t="s">
        <v>121</v>
      </c>
    </row>
    <row r="19" spans="1:5" x14ac:dyDescent="0.25">
      <c r="A19" s="5" t="s">
        <v>92</v>
      </c>
      <c r="B19" s="3" t="s">
        <v>217</v>
      </c>
      <c r="C19" s="3" t="s">
        <v>189</v>
      </c>
      <c r="D19" s="3" t="s">
        <v>218</v>
      </c>
      <c r="E19" s="3" t="s">
        <v>121</v>
      </c>
    </row>
    <row r="20" spans="1:5" x14ac:dyDescent="0.25">
      <c r="A20" s="5" t="s">
        <v>92</v>
      </c>
      <c r="B20" s="3" t="s">
        <v>219</v>
      </c>
      <c r="C20" s="3" t="s">
        <v>189</v>
      </c>
      <c r="D20" s="3" t="s">
        <v>220</v>
      </c>
      <c r="E20" s="3" t="s">
        <v>121</v>
      </c>
    </row>
    <row r="21" spans="1:5" x14ac:dyDescent="0.25">
      <c r="A21" s="5" t="s">
        <v>92</v>
      </c>
      <c r="B21" s="3" t="s">
        <v>221</v>
      </c>
      <c r="C21" s="3" t="s">
        <v>189</v>
      </c>
      <c r="D21" s="3" t="s">
        <v>222</v>
      </c>
      <c r="E21" s="3" t="s">
        <v>121</v>
      </c>
    </row>
    <row r="22" spans="1:5" x14ac:dyDescent="0.25">
      <c r="A22" s="5" t="s">
        <v>92</v>
      </c>
      <c r="B22" s="3" t="s">
        <v>223</v>
      </c>
      <c r="C22" s="3" t="s">
        <v>189</v>
      </c>
      <c r="D22" s="3" t="s">
        <v>224</v>
      </c>
      <c r="E22" s="3" t="s">
        <v>121</v>
      </c>
    </row>
    <row r="23" spans="1:5" x14ac:dyDescent="0.25">
      <c r="A23" s="5" t="s">
        <v>92</v>
      </c>
      <c r="B23" s="3" t="s">
        <v>225</v>
      </c>
      <c r="C23" s="3" t="s">
        <v>189</v>
      </c>
      <c r="D23" s="3" t="s">
        <v>226</v>
      </c>
      <c r="E23" s="3" t="s">
        <v>116</v>
      </c>
    </row>
    <row r="24" spans="1:5" x14ac:dyDescent="0.25">
      <c r="A24" s="5" t="s">
        <v>92</v>
      </c>
      <c r="B24" s="3" t="s">
        <v>227</v>
      </c>
      <c r="C24" s="3" t="s">
        <v>189</v>
      </c>
      <c r="D24" s="3" t="s">
        <v>228</v>
      </c>
      <c r="E24" s="3" t="s">
        <v>116</v>
      </c>
    </row>
  </sheetData>
  <mergeCells count="2">
    <mergeCell ref="A1:E1"/>
    <mergeCell ref="A2:E2"/>
  </mergeCells>
  <conditionalFormatting sqref="A5:A24">
    <cfRule type="expression" dxfId="143" priority="1">
      <formula>A5="☑"</formula>
    </cfRule>
  </conditionalFormatting>
  <conditionalFormatting sqref="E5:E24">
    <cfRule type="expression" dxfId="142" priority="2">
      <formula>$E5="P0"</formula>
    </cfRule>
    <cfRule type="expression" dxfId="141" priority="3">
      <formula>$E5="P1"</formula>
    </cfRule>
    <cfRule type="expression" dxfId="140" priority="4">
      <formula>$E5="P2"</formula>
    </cfRule>
  </conditionalFormatting>
  <dataValidations count="1">
    <dataValidation type="list" sqref="A5:A24" xr:uid="{00000000-0002-0000-04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17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229</v>
      </c>
      <c r="C5" s="3" t="s">
        <v>230</v>
      </c>
      <c r="D5" s="3" t="s">
        <v>231</v>
      </c>
      <c r="E5" s="3" t="s">
        <v>121</v>
      </c>
    </row>
    <row r="6" spans="1:5" x14ac:dyDescent="0.25">
      <c r="A6" s="5" t="s">
        <v>92</v>
      </c>
      <c r="B6" s="3" t="s">
        <v>232</v>
      </c>
      <c r="C6" s="3" t="s">
        <v>230</v>
      </c>
      <c r="D6" s="3" t="s">
        <v>233</v>
      </c>
      <c r="E6" s="3" t="s">
        <v>121</v>
      </c>
    </row>
    <row r="7" spans="1:5" x14ac:dyDescent="0.25">
      <c r="A7" s="5" t="s">
        <v>92</v>
      </c>
      <c r="B7" s="3" t="s">
        <v>234</v>
      </c>
      <c r="C7" s="3" t="s">
        <v>230</v>
      </c>
      <c r="D7" s="3" t="s">
        <v>235</v>
      </c>
      <c r="E7" s="3" t="s">
        <v>116</v>
      </c>
    </row>
    <row r="8" spans="1:5" x14ac:dyDescent="0.25">
      <c r="A8" s="5" t="s">
        <v>92</v>
      </c>
      <c r="B8" s="3" t="s">
        <v>236</v>
      </c>
      <c r="C8" s="3" t="s">
        <v>230</v>
      </c>
      <c r="D8" s="3" t="s">
        <v>237</v>
      </c>
      <c r="E8" s="3" t="s">
        <v>121</v>
      </c>
    </row>
    <row r="9" spans="1:5" x14ac:dyDescent="0.25">
      <c r="A9" s="5" t="s">
        <v>92</v>
      </c>
      <c r="B9" s="3" t="s">
        <v>238</v>
      </c>
      <c r="C9" s="3" t="s">
        <v>230</v>
      </c>
      <c r="D9" s="3" t="s">
        <v>239</v>
      </c>
      <c r="E9" s="3" t="s">
        <v>121</v>
      </c>
    </row>
    <row r="10" spans="1:5" x14ac:dyDescent="0.25">
      <c r="A10" s="5" t="s">
        <v>92</v>
      </c>
      <c r="B10" s="3" t="s">
        <v>240</v>
      </c>
      <c r="C10" s="3" t="s">
        <v>230</v>
      </c>
      <c r="D10" s="3" t="s">
        <v>241</v>
      </c>
      <c r="E10" s="3" t="s">
        <v>121</v>
      </c>
    </row>
    <row r="11" spans="1:5" x14ac:dyDescent="0.25">
      <c r="A11" s="5" t="s">
        <v>92</v>
      </c>
      <c r="B11" s="3" t="s">
        <v>242</v>
      </c>
      <c r="C11" s="3" t="s">
        <v>230</v>
      </c>
      <c r="D11" s="3" t="s">
        <v>243</v>
      </c>
      <c r="E11" s="3" t="s">
        <v>121</v>
      </c>
    </row>
    <row r="12" spans="1:5" x14ac:dyDescent="0.25">
      <c r="A12" s="5" t="s">
        <v>92</v>
      </c>
      <c r="B12" s="3" t="s">
        <v>244</v>
      </c>
      <c r="C12" s="3" t="s">
        <v>230</v>
      </c>
      <c r="D12" s="3" t="s">
        <v>245</v>
      </c>
      <c r="E12" s="3" t="s">
        <v>116</v>
      </c>
    </row>
    <row r="13" spans="1:5" x14ac:dyDescent="0.25">
      <c r="A13" s="5" t="s">
        <v>92</v>
      </c>
      <c r="B13" s="3" t="s">
        <v>246</v>
      </c>
      <c r="C13" s="3" t="s">
        <v>230</v>
      </c>
      <c r="D13" s="3" t="s">
        <v>247</v>
      </c>
      <c r="E13" s="3" t="s">
        <v>121</v>
      </c>
    </row>
    <row r="14" spans="1:5" x14ac:dyDescent="0.25">
      <c r="A14" s="5" t="s">
        <v>92</v>
      </c>
      <c r="B14" s="3" t="s">
        <v>248</v>
      </c>
      <c r="C14" s="3" t="s">
        <v>230</v>
      </c>
      <c r="D14" s="3" t="s">
        <v>249</v>
      </c>
      <c r="E14" s="3" t="s">
        <v>121</v>
      </c>
    </row>
    <row r="15" spans="1:5" x14ac:dyDescent="0.25">
      <c r="A15" s="5" t="s">
        <v>92</v>
      </c>
      <c r="B15" s="3" t="s">
        <v>250</v>
      </c>
      <c r="C15" s="3" t="s">
        <v>230</v>
      </c>
      <c r="D15" s="3" t="s">
        <v>251</v>
      </c>
      <c r="E15" s="3" t="s">
        <v>121</v>
      </c>
    </row>
    <row r="16" spans="1:5" x14ac:dyDescent="0.25">
      <c r="A16" s="5" t="s">
        <v>92</v>
      </c>
      <c r="B16" s="3" t="s">
        <v>252</v>
      </c>
      <c r="C16" s="3" t="s">
        <v>230</v>
      </c>
      <c r="D16" s="3" t="s">
        <v>253</v>
      </c>
      <c r="E16" s="3" t="s">
        <v>121</v>
      </c>
    </row>
    <row r="17" spans="1:5" x14ac:dyDescent="0.25">
      <c r="A17" s="5" t="s">
        <v>92</v>
      </c>
      <c r="B17" s="3" t="s">
        <v>254</v>
      </c>
      <c r="C17" s="3" t="s">
        <v>230</v>
      </c>
      <c r="D17" s="3" t="s">
        <v>255</v>
      </c>
      <c r="E17" s="3" t="s">
        <v>121</v>
      </c>
    </row>
    <row r="18" spans="1:5" x14ac:dyDescent="0.25">
      <c r="A18" s="5" t="s">
        <v>92</v>
      </c>
      <c r="B18" s="3" t="s">
        <v>256</v>
      </c>
      <c r="C18" s="3" t="s">
        <v>230</v>
      </c>
      <c r="D18" s="3" t="s">
        <v>257</v>
      </c>
      <c r="E18" s="3" t="s">
        <v>121</v>
      </c>
    </row>
    <row r="19" spans="1:5" x14ac:dyDescent="0.25">
      <c r="A19" s="5" t="s">
        <v>92</v>
      </c>
      <c r="B19" s="3" t="s">
        <v>258</v>
      </c>
      <c r="C19" s="3" t="s">
        <v>230</v>
      </c>
      <c r="D19" s="3" t="s">
        <v>259</v>
      </c>
      <c r="E19" s="3" t="s">
        <v>142</v>
      </c>
    </row>
    <row r="20" spans="1:5" x14ac:dyDescent="0.25">
      <c r="A20" s="5" t="s">
        <v>92</v>
      </c>
      <c r="B20" s="3" t="s">
        <v>260</v>
      </c>
      <c r="C20" s="3" t="s">
        <v>230</v>
      </c>
      <c r="D20" s="3" t="s">
        <v>261</v>
      </c>
      <c r="E20" s="3" t="s">
        <v>142</v>
      </c>
    </row>
    <row r="21" spans="1:5" x14ac:dyDescent="0.25">
      <c r="A21" s="5" t="s">
        <v>92</v>
      </c>
      <c r="B21" s="3" t="s">
        <v>262</v>
      </c>
      <c r="C21" s="3" t="s">
        <v>230</v>
      </c>
      <c r="D21" s="3" t="s">
        <v>263</v>
      </c>
      <c r="E21" s="3" t="s">
        <v>142</v>
      </c>
    </row>
    <row r="22" spans="1:5" x14ac:dyDescent="0.25">
      <c r="A22" s="5" t="s">
        <v>92</v>
      </c>
      <c r="B22" s="3" t="s">
        <v>264</v>
      </c>
      <c r="C22" s="3" t="s">
        <v>230</v>
      </c>
      <c r="D22" s="3" t="s">
        <v>265</v>
      </c>
      <c r="E22" s="3" t="s">
        <v>142</v>
      </c>
    </row>
  </sheetData>
  <mergeCells count="2">
    <mergeCell ref="A1:E1"/>
    <mergeCell ref="A2:E2"/>
  </mergeCells>
  <conditionalFormatting sqref="A5:A22">
    <cfRule type="expression" dxfId="139" priority="1">
      <formula>A5="☑"</formula>
    </cfRule>
  </conditionalFormatting>
  <conditionalFormatting sqref="E5:E22">
    <cfRule type="expression" dxfId="138" priority="2">
      <formula>$E5="P0"</formula>
    </cfRule>
    <cfRule type="expression" dxfId="137" priority="3">
      <formula>$E5="P1"</formula>
    </cfRule>
    <cfRule type="expression" dxfId="136" priority="4">
      <formula>$E5="P2"</formula>
    </cfRule>
  </conditionalFormatting>
  <dataValidations count="1">
    <dataValidation type="list" sqref="A5:A22" xr:uid="{00000000-0002-0000-05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19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266</v>
      </c>
      <c r="C5" s="3" t="s">
        <v>267</v>
      </c>
      <c r="D5" s="3" t="s">
        <v>268</v>
      </c>
      <c r="E5" s="3" t="s">
        <v>116</v>
      </c>
    </row>
    <row r="6" spans="1:5" x14ac:dyDescent="0.25">
      <c r="A6" s="5" t="s">
        <v>92</v>
      </c>
      <c r="B6" s="3" t="s">
        <v>269</v>
      </c>
      <c r="C6" s="3" t="s">
        <v>267</v>
      </c>
      <c r="D6" s="3" t="s">
        <v>270</v>
      </c>
      <c r="E6" s="3" t="s">
        <v>116</v>
      </c>
    </row>
    <row r="7" spans="1:5" x14ac:dyDescent="0.25">
      <c r="A7" s="5" t="s">
        <v>92</v>
      </c>
      <c r="B7" s="3" t="s">
        <v>271</v>
      </c>
      <c r="C7" s="3" t="s">
        <v>267</v>
      </c>
      <c r="D7" s="3" t="s">
        <v>272</v>
      </c>
      <c r="E7" s="3" t="s">
        <v>116</v>
      </c>
    </row>
    <row r="8" spans="1:5" x14ac:dyDescent="0.25">
      <c r="A8" s="5" t="s">
        <v>92</v>
      </c>
      <c r="B8" s="3" t="s">
        <v>273</v>
      </c>
      <c r="C8" s="3" t="s">
        <v>267</v>
      </c>
      <c r="D8" s="3" t="s">
        <v>274</v>
      </c>
      <c r="E8" s="3" t="s">
        <v>116</v>
      </c>
    </row>
    <row r="9" spans="1:5" x14ac:dyDescent="0.25">
      <c r="A9" s="5" t="s">
        <v>92</v>
      </c>
      <c r="B9" s="3" t="s">
        <v>275</v>
      </c>
      <c r="C9" s="3" t="s">
        <v>267</v>
      </c>
      <c r="D9" s="3" t="s">
        <v>276</v>
      </c>
      <c r="E9" s="3" t="s">
        <v>121</v>
      </c>
    </row>
    <row r="10" spans="1:5" x14ac:dyDescent="0.25">
      <c r="A10" s="5" t="s">
        <v>92</v>
      </c>
      <c r="B10" s="3" t="s">
        <v>277</v>
      </c>
      <c r="C10" s="3" t="s">
        <v>267</v>
      </c>
      <c r="D10" s="3" t="s">
        <v>278</v>
      </c>
      <c r="E10" s="3" t="s">
        <v>121</v>
      </c>
    </row>
    <row r="11" spans="1:5" x14ac:dyDescent="0.25">
      <c r="A11" s="5" t="s">
        <v>92</v>
      </c>
      <c r="B11" s="3" t="s">
        <v>279</v>
      </c>
      <c r="C11" s="3" t="s">
        <v>267</v>
      </c>
      <c r="D11" s="3" t="s">
        <v>280</v>
      </c>
      <c r="E11" s="3" t="s">
        <v>116</v>
      </c>
    </row>
    <row r="12" spans="1:5" x14ac:dyDescent="0.25">
      <c r="A12" s="5" t="s">
        <v>92</v>
      </c>
      <c r="B12" s="3" t="s">
        <v>281</v>
      </c>
      <c r="C12" s="3" t="s">
        <v>267</v>
      </c>
      <c r="D12" s="3" t="s">
        <v>282</v>
      </c>
      <c r="E12" s="3" t="s">
        <v>116</v>
      </c>
    </row>
    <row r="13" spans="1:5" x14ac:dyDescent="0.25">
      <c r="A13" s="5" t="s">
        <v>92</v>
      </c>
      <c r="B13" s="3" t="s">
        <v>283</v>
      </c>
      <c r="C13" s="3" t="s">
        <v>267</v>
      </c>
      <c r="D13" s="3" t="s">
        <v>284</v>
      </c>
      <c r="E13" s="3" t="s">
        <v>116</v>
      </c>
    </row>
    <row r="14" spans="1:5" x14ac:dyDescent="0.25">
      <c r="A14" s="5" t="s">
        <v>92</v>
      </c>
      <c r="B14" s="3" t="s">
        <v>285</v>
      </c>
      <c r="C14" s="3" t="s">
        <v>267</v>
      </c>
      <c r="D14" s="3" t="s">
        <v>286</v>
      </c>
      <c r="E14" s="3" t="s">
        <v>121</v>
      </c>
    </row>
    <row r="15" spans="1:5" x14ac:dyDescent="0.25">
      <c r="A15" s="5" t="s">
        <v>92</v>
      </c>
      <c r="B15" s="3" t="s">
        <v>287</v>
      </c>
      <c r="C15" s="3" t="s">
        <v>267</v>
      </c>
      <c r="D15" s="3" t="s">
        <v>288</v>
      </c>
      <c r="E15" s="3" t="s">
        <v>121</v>
      </c>
    </row>
    <row r="16" spans="1:5" x14ac:dyDescent="0.25">
      <c r="A16" s="5" t="s">
        <v>92</v>
      </c>
      <c r="B16" s="3" t="s">
        <v>289</v>
      </c>
      <c r="C16" s="3" t="s">
        <v>267</v>
      </c>
      <c r="D16" s="3" t="s">
        <v>290</v>
      </c>
      <c r="E16" s="3" t="s">
        <v>121</v>
      </c>
    </row>
    <row r="17" spans="1:5" x14ac:dyDescent="0.25">
      <c r="A17" s="5" t="s">
        <v>92</v>
      </c>
      <c r="B17" s="3" t="s">
        <v>291</v>
      </c>
      <c r="C17" s="3" t="s">
        <v>267</v>
      </c>
      <c r="D17" s="3" t="s">
        <v>292</v>
      </c>
      <c r="E17" s="3" t="s">
        <v>116</v>
      </c>
    </row>
    <row r="18" spans="1:5" x14ac:dyDescent="0.25">
      <c r="A18" s="5" t="s">
        <v>92</v>
      </c>
      <c r="B18" s="3" t="s">
        <v>293</v>
      </c>
      <c r="C18" s="3" t="s">
        <v>267</v>
      </c>
      <c r="D18" s="3" t="s">
        <v>294</v>
      </c>
      <c r="E18" s="3" t="s">
        <v>121</v>
      </c>
    </row>
    <row r="19" spans="1:5" x14ac:dyDescent="0.25">
      <c r="A19" s="5" t="s">
        <v>92</v>
      </c>
      <c r="B19" s="3" t="s">
        <v>295</v>
      </c>
      <c r="C19" s="3" t="s">
        <v>267</v>
      </c>
      <c r="D19" s="3" t="s">
        <v>296</v>
      </c>
      <c r="E19" s="3" t="s">
        <v>116</v>
      </c>
    </row>
    <row r="20" spans="1:5" x14ac:dyDescent="0.25">
      <c r="A20" s="5" t="s">
        <v>92</v>
      </c>
      <c r="B20" s="3" t="s">
        <v>297</v>
      </c>
      <c r="C20" s="3" t="s">
        <v>267</v>
      </c>
      <c r="D20" s="3" t="s">
        <v>298</v>
      </c>
      <c r="E20" s="3" t="s">
        <v>116</v>
      </c>
    </row>
    <row r="21" spans="1:5" x14ac:dyDescent="0.25">
      <c r="A21" s="5" t="s">
        <v>92</v>
      </c>
      <c r="B21" s="3" t="s">
        <v>299</v>
      </c>
      <c r="C21" s="3" t="s">
        <v>267</v>
      </c>
      <c r="D21" s="3" t="s">
        <v>300</v>
      </c>
      <c r="E21" s="3" t="s">
        <v>116</v>
      </c>
    </row>
  </sheetData>
  <mergeCells count="2">
    <mergeCell ref="A1:E1"/>
    <mergeCell ref="A2:E2"/>
  </mergeCells>
  <conditionalFormatting sqref="A5:A21">
    <cfRule type="expression" dxfId="135" priority="1">
      <formula>A5="☑"</formula>
    </cfRule>
  </conditionalFormatting>
  <conditionalFormatting sqref="E5:E21">
    <cfRule type="expression" dxfId="134" priority="2">
      <formula>$E5="P0"</formula>
    </cfRule>
    <cfRule type="expression" dxfId="133" priority="3">
      <formula>$E5="P1"</formula>
    </cfRule>
    <cfRule type="expression" dxfId="132" priority="4">
      <formula>$E5="P2"</formula>
    </cfRule>
  </conditionalFormatting>
  <dataValidations count="1">
    <dataValidation type="list" sqref="A5:A21" xr:uid="{00000000-0002-0000-06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21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301</v>
      </c>
      <c r="C5" s="3" t="s">
        <v>302</v>
      </c>
      <c r="D5" s="3" t="s">
        <v>303</v>
      </c>
      <c r="E5" s="3" t="s">
        <v>121</v>
      </c>
    </row>
    <row r="6" spans="1:5" ht="30" x14ac:dyDescent="0.25">
      <c r="A6" s="5" t="s">
        <v>92</v>
      </c>
      <c r="B6" s="3" t="s">
        <v>304</v>
      </c>
      <c r="C6" s="3" t="s">
        <v>302</v>
      </c>
      <c r="D6" s="3" t="s">
        <v>305</v>
      </c>
      <c r="E6" s="3" t="s">
        <v>121</v>
      </c>
    </row>
    <row r="7" spans="1:5" ht="30" x14ac:dyDescent="0.25">
      <c r="A7" s="5" t="s">
        <v>92</v>
      </c>
      <c r="B7" s="3" t="s">
        <v>306</v>
      </c>
      <c r="C7" s="3" t="s">
        <v>302</v>
      </c>
      <c r="D7" s="3" t="s">
        <v>307</v>
      </c>
      <c r="E7" s="3" t="s">
        <v>121</v>
      </c>
    </row>
    <row r="8" spans="1:5" ht="30" x14ac:dyDescent="0.25">
      <c r="A8" s="5" t="s">
        <v>92</v>
      </c>
      <c r="B8" s="3" t="s">
        <v>308</v>
      </c>
      <c r="C8" s="3" t="s">
        <v>302</v>
      </c>
      <c r="D8" s="3" t="s">
        <v>309</v>
      </c>
      <c r="E8" s="3" t="s">
        <v>121</v>
      </c>
    </row>
    <row r="9" spans="1:5" ht="30" x14ac:dyDescent="0.25">
      <c r="A9" s="5" t="s">
        <v>92</v>
      </c>
      <c r="B9" s="3" t="s">
        <v>310</v>
      </c>
      <c r="C9" s="3" t="s">
        <v>302</v>
      </c>
      <c r="D9" s="3" t="s">
        <v>311</v>
      </c>
      <c r="E9" s="3" t="s">
        <v>121</v>
      </c>
    </row>
    <row r="10" spans="1:5" ht="30" x14ac:dyDescent="0.25">
      <c r="A10" s="5" t="s">
        <v>92</v>
      </c>
      <c r="B10" s="3" t="s">
        <v>312</v>
      </c>
      <c r="C10" s="3" t="s">
        <v>302</v>
      </c>
      <c r="D10" s="3" t="s">
        <v>313</v>
      </c>
      <c r="E10" s="3" t="s">
        <v>121</v>
      </c>
    </row>
    <row r="11" spans="1:5" ht="30" x14ac:dyDescent="0.25">
      <c r="A11" s="5" t="s">
        <v>92</v>
      </c>
      <c r="B11" s="3" t="s">
        <v>314</v>
      </c>
      <c r="C11" s="3" t="s">
        <v>302</v>
      </c>
      <c r="D11" s="3" t="s">
        <v>315</v>
      </c>
      <c r="E11" s="3" t="s">
        <v>121</v>
      </c>
    </row>
    <row r="12" spans="1:5" ht="30" x14ac:dyDescent="0.25">
      <c r="A12" s="5" t="s">
        <v>92</v>
      </c>
      <c r="B12" s="3" t="s">
        <v>316</v>
      </c>
      <c r="C12" s="3" t="s">
        <v>302</v>
      </c>
      <c r="D12" s="3" t="s">
        <v>317</v>
      </c>
      <c r="E12" s="3" t="s">
        <v>121</v>
      </c>
    </row>
    <row r="13" spans="1:5" x14ac:dyDescent="0.25">
      <c r="A13" s="5" t="s">
        <v>92</v>
      </c>
      <c r="B13" s="3" t="s">
        <v>318</v>
      </c>
      <c r="C13" s="3" t="s">
        <v>302</v>
      </c>
      <c r="D13" s="3" t="s">
        <v>319</v>
      </c>
      <c r="E13" s="3" t="s">
        <v>121</v>
      </c>
    </row>
    <row r="14" spans="1:5" ht="30" x14ac:dyDescent="0.25">
      <c r="A14" s="5" t="s">
        <v>92</v>
      </c>
      <c r="B14" s="3" t="s">
        <v>320</v>
      </c>
      <c r="C14" s="3" t="s">
        <v>302</v>
      </c>
      <c r="D14" s="3" t="s">
        <v>321</v>
      </c>
      <c r="E14" s="3" t="s">
        <v>121</v>
      </c>
    </row>
    <row r="15" spans="1:5" ht="30" x14ac:dyDescent="0.25">
      <c r="A15" s="5" t="s">
        <v>92</v>
      </c>
      <c r="B15" s="3" t="s">
        <v>322</v>
      </c>
      <c r="C15" s="3" t="s">
        <v>302</v>
      </c>
      <c r="D15" s="3" t="s">
        <v>323</v>
      </c>
      <c r="E15" s="3" t="s">
        <v>121</v>
      </c>
    </row>
    <row r="16" spans="1:5" ht="30" x14ac:dyDescent="0.25">
      <c r="A16" s="5" t="s">
        <v>92</v>
      </c>
      <c r="B16" s="3" t="s">
        <v>324</v>
      </c>
      <c r="C16" s="3" t="s">
        <v>302</v>
      </c>
      <c r="D16" s="3" t="s">
        <v>325</v>
      </c>
      <c r="E16" s="3" t="s">
        <v>121</v>
      </c>
    </row>
    <row r="17" spans="1:5" ht="30" x14ac:dyDescent="0.25">
      <c r="A17" s="5" t="s">
        <v>92</v>
      </c>
      <c r="B17" s="3" t="s">
        <v>326</v>
      </c>
      <c r="C17" s="3" t="s">
        <v>302</v>
      </c>
      <c r="D17" s="3" t="s">
        <v>327</v>
      </c>
      <c r="E17" s="3" t="s">
        <v>121</v>
      </c>
    </row>
    <row r="18" spans="1:5" x14ac:dyDescent="0.25">
      <c r="A18" s="5" t="s">
        <v>92</v>
      </c>
      <c r="B18" s="3" t="s">
        <v>328</v>
      </c>
      <c r="C18" s="3" t="s">
        <v>302</v>
      </c>
      <c r="D18" s="3" t="s">
        <v>329</v>
      </c>
      <c r="E18" s="3" t="s">
        <v>121</v>
      </c>
    </row>
    <row r="19" spans="1:5" ht="30" x14ac:dyDescent="0.25">
      <c r="A19" s="5" t="s">
        <v>92</v>
      </c>
      <c r="B19" s="3" t="s">
        <v>330</v>
      </c>
      <c r="C19" s="3" t="s">
        <v>302</v>
      </c>
      <c r="D19" s="3" t="s">
        <v>331</v>
      </c>
      <c r="E19" s="3" t="s">
        <v>121</v>
      </c>
    </row>
  </sheetData>
  <mergeCells count="2">
    <mergeCell ref="A1:E1"/>
    <mergeCell ref="A2:E2"/>
  </mergeCells>
  <conditionalFormatting sqref="A5:A19">
    <cfRule type="expression" dxfId="131" priority="1">
      <formula>A5="☑"</formula>
    </cfRule>
  </conditionalFormatting>
  <conditionalFormatting sqref="E5:E19">
    <cfRule type="expression" dxfId="130" priority="2">
      <formula>$E5="P0"</formula>
    </cfRule>
    <cfRule type="expression" dxfId="129" priority="3">
      <formula>$E5="P1"</formula>
    </cfRule>
    <cfRule type="expression" dxfId="128" priority="4">
      <formula>$E5="P2"</formula>
    </cfRule>
  </conditionalFormatting>
  <dataValidations count="1">
    <dataValidation type="list" sqref="A5:A19" xr:uid="{00000000-0002-0000-07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23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332</v>
      </c>
      <c r="C5" s="3" t="s">
        <v>333</v>
      </c>
      <c r="D5" s="3" t="s">
        <v>334</v>
      </c>
      <c r="E5" s="3" t="s">
        <v>116</v>
      </c>
    </row>
    <row r="6" spans="1:5" x14ac:dyDescent="0.25">
      <c r="A6" s="5" t="s">
        <v>92</v>
      </c>
      <c r="B6" s="3" t="s">
        <v>335</v>
      </c>
      <c r="C6" s="3" t="s">
        <v>333</v>
      </c>
      <c r="D6" s="3" t="s">
        <v>336</v>
      </c>
      <c r="E6" s="3" t="s">
        <v>116</v>
      </c>
    </row>
    <row r="7" spans="1:5" x14ac:dyDescent="0.25">
      <c r="A7" s="5" t="s">
        <v>92</v>
      </c>
      <c r="B7" s="3" t="s">
        <v>337</v>
      </c>
      <c r="C7" s="3" t="s">
        <v>333</v>
      </c>
      <c r="D7" s="3" t="s">
        <v>338</v>
      </c>
      <c r="E7" s="3" t="s">
        <v>116</v>
      </c>
    </row>
    <row r="8" spans="1:5" x14ac:dyDescent="0.25">
      <c r="A8" s="5" t="s">
        <v>92</v>
      </c>
      <c r="B8" s="3" t="s">
        <v>339</v>
      </c>
      <c r="C8" s="3" t="s">
        <v>333</v>
      </c>
      <c r="D8" s="3" t="s">
        <v>340</v>
      </c>
      <c r="E8" s="3" t="s">
        <v>116</v>
      </c>
    </row>
    <row r="9" spans="1:5" x14ac:dyDescent="0.25">
      <c r="A9" s="5" t="s">
        <v>92</v>
      </c>
      <c r="B9" s="3" t="s">
        <v>341</v>
      </c>
      <c r="C9" s="3" t="s">
        <v>333</v>
      </c>
      <c r="D9" s="3" t="s">
        <v>342</v>
      </c>
      <c r="E9" s="3" t="s">
        <v>121</v>
      </c>
    </row>
    <row r="10" spans="1:5" x14ac:dyDescent="0.25">
      <c r="A10" s="5" t="s">
        <v>92</v>
      </c>
      <c r="B10" s="3" t="s">
        <v>343</v>
      </c>
      <c r="C10" s="3" t="s">
        <v>333</v>
      </c>
      <c r="D10" s="3" t="s">
        <v>344</v>
      </c>
      <c r="E10" s="3" t="s">
        <v>121</v>
      </c>
    </row>
    <row r="11" spans="1:5" x14ac:dyDescent="0.25">
      <c r="A11" s="5" t="s">
        <v>92</v>
      </c>
      <c r="B11" s="3" t="s">
        <v>345</v>
      </c>
      <c r="C11" s="3" t="s">
        <v>333</v>
      </c>
      <c r="D11" s="3" t="s">
        <v>346</v>
      </c>
      <c r="E11" s="3" t="s">
        <v>121</v>
      </c>
    </row>
    <row r="12" spans="1:5" x14ac:dyDescent="0.25">
      <c r="A12" s="5" t="s">
        <v>92</v>
      </c>
      <c r="B12" s="3" t="s">
        <v>347</v>
      </c>
      <c r="C12" s="3" t="s">
        <v>333</v>
      </c>
      <c r="D12" s="3" t="s">
        <v>348</v>
      </c>
      <c r="E12" s="3" t="s">
        <v>116</v>
      </c>
    </row>
    <row r="13" spans="1:5" x14ac:dyDescent="0.25">
      <c r="A13" s="5" t="s">
        <v>92</v>
      </c>
      <c r="B13" s="3" t="s">
        <v>349</v>
      </c>
      <c r="C13" s="3" t="s">
        <v>333</v>
      </c>
      <c r="D13" s="3" t="s">
        <v>350</v>
      </c>
      <c r="E13" s="3" t="s">
        <v>116</v>
      </c>
    </row>
    <row r="14" spans="1:5" x14ac:dyDescent="0.25">
      <c r="A14" s="5" t="s">
        <v>92</v>
      </c>
      <c r="B14" s="3" t="s">
        <v>351</v>
      </c>
      <c r="C14" s="3" t="s">
        <v>333</v>
      </c>
      <c r="D14" s="3" t="s">
        <v>352</v>
      </c>
      <c r="E14" s="3" t="s">
        <v>116</v>
      </c>
    </row>
    <row r="15" spans="1:5" x14ac:dyDescent="0.25">
      <c r="A15" s="5" t="s">
        <v>92</v>
      </c>
      <c r="B15" s="3" t="s">
        <v>353</v>
      </c>
      <c r="C15" s="3" t="s">
        <v>333</v>
      </c>
      <c r="D15" s="3" t="s">
        <v>354</v>
      </c>
      <c r="E15" s="3" t="s">
        <v>121</v>
      </c>
    </row>
    <row r="16" spans="1:5" x14ac:dyDescent="0.25">
      <c r="A16" s="5" t="s">
        <v>92</v>
      </c>
      <c r="B16" s="3" t="s">
        <v>355</v>
      </c>
      <c r="C16" s="3" t="s">
        <v>333</v>
      </c>
      <c r="D16" s="3" t="s">
        <v>356</v>
      </c>
      <c r="E16" s="3" t="s">
        <v>121</v>
      </c>
    </row>
    <row r="17" spans="1:5" x14ac:dyDescent="0.25">
      <c r="A17" s="5" t="s">
        <v>92</v>
      </c>
      <c r="B17" s="3" t="s">
        <v>357</v>
      </c>
      <c r="C17" s="3" t="s">
        <v>333</v>
      </c>
      <c r="D17" s="3" t="s">
        <v>358</v>
      </c>
      <c r="E17" s="3" t="s">
        <v>116</v>
      </c>
    </row>
    <row r="18" spans="1:5" x14ac:dyDescent="0.25">
      <c r="A18" s="5" t="s">
        <v>92</v>
      </c>
      <c r="B18" s="3" t="s">
        <v>359</v>
      </c>
      <c r="C18" s="3" t="s">
        <v>333</v>
      </c>
      <c r="D18" s="3" t="s">
        <v>360</v>
      </c>
      <c r="E18" s="3" t="s">
        <v>142</v>
      </c>
    </row>
    <row r="19" spans="1:5" x14ac:dyDescent="0.25">
      <c r="A19" s="5" t="s">
        <v>92</v>
      </c>
      <c r="B19" s="3" t="s">
        <v>361</v>
      </c>
      <c r="C19" s="3" t="s">
        <v>333</v>
      </c>
      <c r="D19" s="3" t="s">
        <v>362</v>
      </c>
      <c r="E19" s="3" t="s">
        <v>142</v>
      </c>
    </row>
    <row r="20" spans="1:5" x14ac:dyDescent="0.25">
      <c r="A20" s="5" t="s">
        <v>92</v>
      </c>
      <c r="B20" s="3" t="s">
        <v>363</v>
      </c>
      <c r="C20" s="3" t="s">
        <v>333</v>
      </c>
      <c r="D20" s="3" t="s">
        <v>364</v>
      </c>
      <c r="E20" s="3" t="s">
        <v>121</v>
      </c>
    </row>
    <row r="21" spans="1:5" x14ac:dyDescent="0.25">
      <c r="A21" s="5" t="s">
        <v>92</v>
      </c>
      <c r="B21" s="3" t="s">
        <v>365</v>
      </c>
      <c r="C21" s="3" t="s">
        <v>333</v>
      </c>
      <c r="D21" s="3" t="s">
        <v>366</v>
      </c>
      <c r="E21" s="3" t="s">
        <v>121</v>
      </c>
    </row>
    <row r="22" spans="1:5" x14ac:dyDescent="0.25">
      <c r="A22" s="5" t="s">
        <v>92</v>
      </c>
      <c r="B22" s="3" t="s">
        <v>367</v>
      </c>
      <c r="C22" s="3" t="s">
        <v>333</v>
      </c>
      <c r="D22" s="3" t="s">
        <v>368</v>
      </c>
      <c r="E22" s="3" t="s">
        <v>116</v>
      </c>
    </row>
    <row r="23" spans="1:5" x14ac:dyDescent="0.25">
      <c r="A23" s="5" t="s">
        <v>92</v>
      </c>
      <c r="B23" s="3" t="s">
        <v>369</v>
      </c>
      <c r="C23" s="3" t="s">
        <v>333</v>
      </c>
      <c r="D23" s="3" t="s">
        <v>370</v>
      </c>
      <c r="E23" s="3" t="s">
        <v>121</v>
      </c>
    </row>
  </sheetData>
  <mergeCells count="2">
    <mergeCell ref="A1:E1"/>
    <mergeCell ref="A2:E2"/>
  </mergeCells>
  <conditionalFormatting sqref="A5:A23">
    <cfRule type="expression" dxfId="127" priority="1">
      <formula>A5="☑"</formula>
    </cfRule>
  </conditionalFormatting>
  <conditionalFormatting sqref="E5:E23">
    <cfRule type="expression" dxfId="126" priority="2">
      <formula>$E5="P0"</formula>
    </cfRule>
    <cfRule type="expression" dxfId="125" priority="3">
      <formula>$E5="P1"</formula>
    </cfRule>
    <cfRule type="expression" dxfId="124" priority="4">
      <formula>$E5="P2"</formula>
    </cfRule>
  </conditionalFormatting>
  <dataValidations count="1">
    <dataValidation type="list" sqref="A5:A23" xr:uid="{00000000-0002-0000-08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25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371</v>
      </c>
      <c r="C5" s="3" t="s">
        <v>372</v>
      </c>
      <c r="D5" s="3" t="s">
        <v>373</v>
      </c>
      <c r="E5" s="3" t="s">
        <v>116</v>
      </c>
    </row>
    <row r="6" spans="1:5" x14ac:dyDescent="0.25">
      <c r="A6" s="5" t="s">
        <v>92</v>
      </c>
      <c r="B6" s="3" t="s">
        <v>374</v>
      </c>
      <c r="C6" s="3" t="s">
        <v>372</v>
      </c>
      <c r="D6" s="3" t="s">
        <v>375</v>
      </c>
      <c r="E6" s="3" t="s">
        <v>116</v>
      </c>
    </row>
    <row r="7" spans="1:5" x14ac:dyDescent="0.25">
      <c r="A7" s="5" t="s">
        <v>92</v>
      </c>
      <c r="B7" s="3" t="s">
        <v>376</v>
      </c>
      <c r="C7" s="3" t="s">
        <v>372</v>
      </c>
      <c r="D7" s="3" t="s">
        <v>377</v>
      </c>
      <c r="E7" s="3" t="s">
        <v>121</v>
      </c>
    </row>
    <row r="8" spans="1:5" x14ac:dyDescent="0.25">
      <c r="A8" s="5" t="s">
        <v>92</v>
      </c>
      <c r="B8" s="3" t="s">
        <v>378</v>
      </c>
      <c r="C8" s="3" t="s">
        <v>372</v>
      </c>
      <c r="D8" s="3" t="s">
        <v>379</v>
      </c>
      <c r="E8" s="3" t="s">
        <v>121</v>
      </c>
    </row>
    <row r="9" spans="1:5" x14ac:dyDescent="0.25">
      <c r="A9" s="5" t="s">
        <v>92</v>
      </c>
      <c r="B9" s="3" t="s">
        <v>380</v>
      </c>
      <c r="C9" s="3" t="s">
        <v>372</v>
      </c>
      <c r="D9" s="3" t="s">
        <v>381</v>
      </c>
      <c r="E9" s="3" t="s">
        <v>121</v>
      </c>
    </row>
    <row r="10" spans="1:5" x14ac:dyDescent="0.25">
      <c r="A10" s="5" t="s">
        <v>92</v>
      </c>
      <c r="B10" s="3" t="s">
        <v>382</v>
      </c>
      <c r="C10" s="3" t="s">
        <v>372</v>
      </c>
      <c r="D10" s="3" t="s">
        <v>383</v>
      </c>
      <c r="E10" s="3" t="s">
        <v>116</v>
      </c>
    </row>
    <row r="11" spans="1:5" x14ac:dyDescent="0.25">
      <c r="A11" s="5" t="s">
        <v>92</v>
      </c>
      <c r="B11" s="3" t="s">
        <v>384</v>
      </c>
      <c r="C11" s="3" t="s">
        <v>372</v>
      </c>
      <c r="D11" s="3" t="s">
        <v>385</v>
      </c>
      <c r="E11" s="3" t="s">
        <v>116</v>
      </c>
    </row>
    <row r="12" spans="1:5" x14ac:dyDescent="0.25">
      <c r="A12" s="5" t="s">
        <v>92</v>
      </c>
      <c r="B12" s="3" t="s">
        <v>386</v>
      </c>
      <c r="C12" s="3" t="s">
        <v>372</v>
      </c>
      <c r="D12" s="3" t="s">
        <v>387</v>
      </c>
      <c r="E12" s="3" t="s">
        <v>121</v>
      </c>
    </row>
    <row r="13" spans="1:5" x14ac:dyDescent="0.25">
      <c r="A13" s="5" t="s">
        <v>92</v>
      </c>
      <c r="B13" s="3" t="s">
        <v>388</v>
      </c>
      <c r="C13" s="3" t="s">
        <v>372</v>
      </c>
      <c r="D13" s="3" t="s">
        <v>389</v>
      </c>
      <c r="E13" s="3" t="s">
        <v>121</v>
      </c>
    </row>
    <row r="14" spans="1:5" x14ac:dyDescent="0.25">
      <c r="A14" s="5" t="s">
        <v>92</v>
      </c>
      <c r="B14" s="3" t="s">
        <v>390</v>
      </c>
      <c r="C14" s="3" t="s">
        <v>372</v>
      </c>
      <c r="D14" s="3" t="s">
        <v>391</v>
      </c>
      <c r="E14" s="3" t="s">
        <v>121</v>
      </c>
    </row>
    <row r="15" spans="1:5" x14ac:dyDescent="0.25">
      <c r="A15" s="5" t="s">
        <v>92</v>
      </c>
      <c r="B15" s="3" t="s">
        <v>392</v>
      </c>
      <c r="C15" s="3" t="s">
        <v>372</v>
      </c>
      <c r="D15" s="3" t="s">
        <v>393</v>
      </c>
      <c r="E15" s="3" t="s">
        <v>116</v>
      </c>
    </row>
    <row r="16" spans="1:5" x14ac:dyDescent="0.25">
      <c r="A16" s="5" t="s">
        <v>92</v>
      </c>
      <c r="B16" s="3" t="s">
        <v>394</v>
      </c>
      <c r="C16" s="3" t="s">
        <v>372</v>
      </c>
      <c r="D16" s="3" t="s">
        <v>395</v>
      </c>
      <c r="E16" s="3" t="s">
        <v>116</v>
      </c>
    </row>
    <row r="17" spans="1:5" x14ac:dyDescent="0.25">
      <c r="A17" s="5" t="s">
        <v>92</v>
      </c>
      <c r="B17" s="3" t="s">
        <v>396</v>
      </c>
      <c r="C17" s="3" t="s">
        <v>372</v>
      </c>
      <c r="D17" s="3" t="s">
        <v>397</v>
      </c>
      <c r="E17" s="3" t="s">
        <v>142</v>
      </c>
    </row>
    <row r="18" spans="1:5" x14ac:dyDescent="0.25">
      <c r="A18" s="5" t="s">
        <v>92</v>
      </c>
      <c r="B18" s="3" t="s">
        <v>398</v>
      </c>
      <c r="C18" s="3" t="s">
        <v>372</v>
      </c>
      <c r="D18" s="3" t="s">
        <v>399</v>
      </c>
      <c r="E18" s="3" t="s">
        <v>142</v>
      </c>
    </row>
    <row r="19" spans="1:5" x14ac:dyDescent="0.25">
      <c r="A19" s="5" t="s">
        <v>92</v>
      </c>
      <c r="B19" s="3" t="s">
        <v>400</v>
      </c>
      <c r="C19" s="3" t="s">
        <v>372</v>
      </c>
      <c r="D19" s="3" t="s">
        <v>401</v>
      </c>
      <c r="E19" s="3" t="s">
        <v>121</v>
      </c>
    </row>
  </sheetData>
  <mergeCells count="2">
    <mergeCell ref="A1:E1"/>
    <mergeCell ref="A2:E2"/>
  </mergeCells>
  <conditionalFormatting sqref="A5:A19">
    <cfRule type="expression" dxfId="123" priority="1">
      <formula>A5="☑"</formula>
    </cfRule>
  </conditionalFormatting>
  <conditionalFormatting sqref="E5:E19">
    <cfRule type="expression" dxfId="122" priority="2">
      <formula>$E5="P0"</formula>
    </cfRule>
    <cfRule type="expression" dxfId="121" priority="3">
      <formula>$E5="P1"</formula>
    </cfRule>
    <cfRule type="expression" dxfId="120" priority="4">
      <formula>$E5="P2"</formula>
    </cfRule>
  </conditionalFormatting>
  <dataValidations count="1">
    <dataValidation type="list" sqref="A5:A19" xr:uid="{00000000-0002-0000-09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27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402</v>
      </c>
      <c r="C5" s="3" t="s">
        <v>403</v>
      </c>
      <c r="D5" s="3" t="s">
        <v>404</v>
      </c>
      <c r="E5" s="3" t="s">
        <v>116</v>
      </c>
    </row>
    <row r="6" spans="1:5" ht="30" x14ac:dyDescent="0.25">
      <c r="A6" s="5" t="s">
        <v>92</v>
      </c>
      <c r="B6" s="3" t="s">
        <v>405</v>
      </c>
      <c r="C6" s="3" t="s">
        <v>403</v>
      </c>
      <c r="D6" s="3" t="s">
        <v>406</v>
      </c>
      <c r="E6" s="3" t="s">
        <v>116</v>
      </c>
    </row>
    <row r="7" spans="1:5" ht="30" x14ac:dyDescent="0.25">
      <c r="A7" s="5" t="s">
        <v>92</v>
      </c>
      <c r="B7" s="3" t="s">
        <v>407</v>
      </c>
      <c r="C7" s="3" t="s">
        <v>403</v>
      </c>
      <c r="D7" s="3" t="s">
        <v>408</v>
      </c>
      <c r="E7" s="3" t="s">
        <v>116</v>
      </c>
    </row>
    <row r="8" spans="1:5" ht="30" x14ac:dyDescent="0.25">
      <c r="A8" s="5" t="s">
        <v>92</v>
      </c>
      <c r="B8" s="3" t="s">
        <v>409</v>
      </c>
      <c r="C8" s="3" t="s">
        <v>403</v>
      </c>
      <c r="D8" s="3" t="s">
        <v>410</v>
      </c>
      <c r="E8" s="3" t="s">
        <v>116</v>
      </c>
    </row>
    <row r="9" spans="1:5" ht="30" x14ac:dyDescent="0.25">
      <c r="A9" s="5" t="s">
        <v>92</v>
      </c>
      <c r="B9" s="3" t="s">
        <v>411</v>
      </c>
      <c r="C9" s="3" t="s">
        <v>403</v>
      </c>
      <c r="D9" s="3" t="s">
        <v>412</v>
      </c>
      <c r="E9" s="3" t="s">
        <v>116</v>
      </c>
    </row>
    <row r="10" spans="1:5" ht="30" x14ac:dyDescent="0.25">
      <c r="A10" s="5" t="s">
        <v>92</v>
      </c>
      <c r="B10" s="3" t="s">
        <v>413</v>
      </c>
      <c r="C10" s="3" t="s">
        <v>403</v>
      </c>
      <c r="D10" s="3" t="s">
        <v>414</v>
      </c>
      <c r="E10" s="3" t="s">
        <v>116</v>
      </c>
    </row>
    <row r="11" spans="1:5" ht="30" x14ac:dyDescent="0.25">
      <c r="A11" s="5" t="s">
        <v>92</v>
      </c>
      <c r="B11" s="3" t="s">
        <v>415</v>
      </c>
      <c r="C11" s="3" t="s">
        <v>403</v>
      </c>
      <c r="D11" s="3" t="s">
        <v>416</v>
      </c>
      <c r="E11" s="3" t="s">
        <v>121</v>
      </c>
    </row>
    <row r="12" spans="1:5" ht="30" x14ac:dyDescent="0.25">
      <c r="A12" s="5" t="s">
        <v>92</v>
      </c>
      <c r="B12" s="3" t="s">
        <v>417</v>
      </c>
      <c r="C12" s="3" t="s">
        <v>403</v>
      </c>
      <c r="D12" s="3" t="s">
        <v>418</v>
      </c>
      <c r="E12" s="3" t="s">
        <v>121</v>
      </c>
    </row>
    <row r="13" spans="1:5" ht="30" x14ac:dyDescent="0.25">
      <c r="A13" s="5" t="s">
        <v>92</v>
      </c>
      <c r="B13" s="3" t="s">
        <v>419</v>
      </c>
      <c r="C13" s="3" t="s">
        <v>403</v>
      </c>
      <c r="D13" s="3" t="s">
        <v>420</v>
      </c>
      <c r="E13" s="3" t="s">
        <v>121</v>
      </c>
    </row>
    <row r="14" spans="1:5" ht="30" x14ac:dyDescent="0.25">
      <c r="A14" s="5" t="s">
        <v>92</v>
      </c>
      <c r="B14" s="3" t="s">
        <v>421</v>
      </c>
      <c r="C14" s="3" t="s">
        <v>403</v>
      </c>
      <c r="D14" s="3" t="s">
        <v>422</v>
      </c>
      <c r="E14" s="3" t="s">
        <v>121</v>
      </c>
    </row>
    <row r="15" spans="1:5" ht="30" x14ac:dyDescent="0.25">
      <c r="A15" s="5" t="s">
        <v>92</v>
      </c>
      <c r="B15" s="3" t="s">
        <v>423</v>
      </c>
      <c r="C15" s="3" t="s">
        <v>403</v>
      </c>
      <c r="D15" s="3" t="s">
        <v>424</v>
      </c>
      <c r="E15" s="3" t="s">
        <v>121</v>
      </c>
    </row>
    <row r="16" spans="1:5" ht="30" x14ac:dyDescent="0.25">
      <c r="A16" s="5" t="s">
        <v>92</v>
      </c>
      <c r="B16" s="3" t="s">
        <v>425</v>
      </c>
      <c r="C16" s="3" t="s">
        <v>403</v>
      </c>
      <c r="D16" s="3" t="s">
        <v>426</v>
      </c>
      <c r="E16" s="3" t="s">
        <v>121</v>
      </c>
    </row>
    <row r="17" spans="1:5" ht="30" x14ac:dyDescent="0.25">
      <c r="A17" s="5" t="s">
        <v>92</v>
      </c>
      <c r="B17" s="3" t="s">
        <v>427</v>
      </c>
      <c r="C17" s="3" t="s">
        <v>403</v>
      </c>
      <c r="D17" s="3" t="s">
        <v>428</v>
      </c>
      <c r="E17" s="3" t="s">
        <v>121</v>
      </c>
    </row>
    <row r="18" spans="1:5" ht="30" x14ac:dyDescent="0.25">
      <c r="A18" s="5" t="s">
        <v>92</v>
      </c>
      <c r="B18" s="3" t="s">
        <v>429</v>
      </c>
      <c r="C18" s="3" t="s">
        <v>403</v>
      </c>
      <c r="D18" s="3" t="s">
        <v>430</v>
      </c>
      <c r="E18" s="3" t="s">
        <v>121</v>
      </c>
    </row>
    <row r="19" spans="1:5" ht="30" x14ac:dyDescent="0.25">
      <c r="A19" s="5" t="s">
        <v>92</v>
      </c>
      <c r="B19" s="3" t="s">
        <v>431</v>
      </c>
      <c r="C19" s="3" t="s">
        <v>403</v>
      </c>
      <c r="D19" s="3" t="s">
        <v>432</v>
      </c>
      <c r="E19" s="3" t="s">
        <v>121</v>
      </c>
    </row>
    <row r="20" spans="1:5" ht="30" x14ac:dyDescent="0.25">
      <c r="A20" s="5" t="s">
        <v>92</v>
      </c>
      <c r="B20" s="3" t="s">
        <v>433</v>
      </c>
      <c r="C20" s="3" t="s">
        <v>403</v>
      </c>
      <c r="D20" s="3" t="s">
        <v>434</v>
      </c>
      <c r="E20" s="3" t="s">
        <v>121</v>
      </c>
    </row>
    <row r="21" spans="1:5" ht="30" x14ac:dyDescent="0.25">
      <c r="A21" s="5" t="s">
        <v>92</v>
      </c>
      <c r="B21" s="3" t="s">
        <v>435</v>
      </c>
      <c r="C21" s="3" t="s">
        <v>403</v>
      </c>
      <c r="D21" s="3" t="s">
        <v>436</v>
      </c>
      <c r="E21" s="3" t="s">
        <v>121</v>
      </c>
    </row>
    <row r="22" spans="1:5" ht="30" x14ac:dyDescent="0.25">
      <c r="A22" s="5" t="s">
        <v>92</v>
      </c>
      <c r="B22" s="3" t="s">
        <v>437</v>
      </c>
      <c r="C22" s="3" t="s">
        <v>403</v>
      </c>
      <c r="D22" s="3" t="s">
        <v>438</v>
      </c>
      <c r="E22" s="3" t="s">
        <v>121</v>
      </c>
    </row>
  </sheetData>
  <mergeCells count="2">
    <mergeCell ref="A1:E1"/>
    <mergeCell ref="A2:E2"/>
  </mergeCells>
  <conditionalFormatting sqref="A5:A22">
    <cfRule type="expression" dxfId="119" priority="1">
      <formula>A5="☑"</formula>
    </cfRule>
  </conditionalFormatting>
  <conditionalFormatting sqref="E5:E22">
    <cfRule type="expression" dxfId="118" priority="2">
      <formula>$E5="P0"</formula>
    </cfRule>
    <cfRule type="expression" dxfId="117" priority="3">
      <formula>$E5="P1"</formula>
    </cfRule>
    <cfRule type="expression" dxfId="116" priority="4">
      <formula>$E5="P2"</formula>
    </cfRule>
  </conditionalFormatting>
  <dataValidations count="1">
    <dataValidation type="list" sqref="A5:A22" xr:uid="{00000000-0002-0000-0A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29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439</v>
      </c>
      <c r="C5" s="3" t="s">
        <v>403</v>
      </c>
      <c r="D5" s="3" t="s">
        <v>440</v>
      </c>
      <c r="E5" s="3" t="s">
        <v>121</v>
      </c>
    </row>
    <row r="6" spans="1:5" ht="30" x14ac:dyDescent="0.25">
      <c r="A6" s="5" t="s">
        <v>92</v>
      </c>
      <c r="B6" s="3" t="s">
        <v>441</v>
      </c>
      <c r="C6" s="3" t="s">
        <v>403</v>
      </c>
      <c r="D6" s="3" t="s">
        <v>442</v>
      </c>
      <c r="E6" s="3" t="s">
        <v>121</v>
      </c>
    </row>
    <row r="7" spans="1:5" ht="30" x14ac:dyDescent="0.25">
      <c r="A7" s="5" t="s">
        <v>92</v>
      </c>
      <c r="B7" s="3" t="s">
        <v>443</v>
      </c>
      <c r="C7" s="3" t="s">
        <v>403</v>
      </c>
      <c r="D7" s="3" t="s">
        <v>444</v>
      </c>
      <c r="E7" s="3" t="s">
        <v>121</v>
      </c>
    </row>
    <row r="8" spans="1:5" ht="30" x14ac:dyDescent="0.25">
      <c r="A8" s="5" t="s">
        <v>92</v>
      </c>
      <c r="B8" s="3" t="s">
        <v>445</v>
      </c>
      <c r="C8" s="3" t="s">
        <v>403</v>
      </c>
      <c r="D8" s="3" t="s">
        <v>446</v>
      </c>
      <c r="E8" s="3" t="s">
        <v>121</v>
      </c>
    </row>
    <row r="9" spans="1:5" ht="30" x14ac:dyDescent="0.25">
      <c r="A9" s="5" t="s">
        <v>92</v>
      </c>
      <c r="B9" s="3" t="s">
        <v>447</v>
      </c>
      <c r="C9" s="3" t="s">
        <v>403</v>
      </c>
      <c r="D9" s="3" t="s">
        <v>448</v>
      </c>
      <c r="E9" s="3" t="s">
        <v>121</v>
      </c>
    </row>
    <row r="10" spans="1:5" ht="30" x14ac:dyDescent="0.25">
      <c r="A10" s="5" t="s">
        <v>92</v>
      </c>
      <c r="B10" s="3" t="s">
        <v>449</v>
      </c>
      <c r="C10" s="3" t="s">
        <v>403</v>
      </c>
      <c r="D10" s="3" t="s">
        <v>450</v>
      </c>
      <c r="E10" s="3" t="s">
        <v>121</v>
      </c>
    </row>
  </sheetData>
  <mergeCells count="2">
    <mergeCell ref="A1:E1"/>
    <mergeCell ref="A2:E2"/>
  </mergeCells>
  <conditionalFormatting sqref="A5:A10">
    <cfRule type="expression" dxfId="115" priority="1">
      <formula>A5="☑"</formula>
    </cfRule>
  </conditionalFormatting>
  <conditionalFormatting sqref="E5:E10">
    <cfRule type="expression" dxfId="114" priority="2">
      <formula>$E5="P0"</formula>
    </cfRule>
    <cfRule type="expression" dxfId="113" priority="3">
      <formula>$E5="P1"</formula>
    </cfRule>
    <cfRule type="expression" dxfId="112" priority="4">
      <formula>$E5="P2"</formula>
    </cfRule>
  </conditionalFormatting>
  <dataValidations count="1">
    <dataValidation type="list" sqref="A5:A10" xr:uid="{00000000-0002-0000-0B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31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451</v>
      </c>
      <c r="C5" s="3" t="s">
        <v>452</v>
      </c>
      <c r="D5" s="3" t="s">
        <v>453</v>
      </c>
      <c r="E5" s="3" t="s">
        <v>116</v>
      </c>
    </row>
    <row r="6" spans="1:5" ht="30" x14ac:dyDescent="0.25">
      <c r="A6" s="5" t="s">
        <v>92</v>
      </c>
      <c r="B6" s="3" t="s">
        <v>454</v>
      </c>
      <c r="C6" s="3" t="s">
        <v>452</v>
      </c>
      <c r="D6" s="3" t="s">
        <v>455</v>
      </c>
      <c r="E6" s="3" t="s">
        <v>121</v>
      </c>
    </row>
    <row r="7" spans="1:5" ht="30" x14ac:dyDescent="0.25">
      <c r="A7" s="5" t="s">
        <v>92</v>
      </c>
      <c r="B7" s="3" t="s">
        <v>456</v>
      </c>
      <c r="C7" s="3" t="s">
        <v>452</v>
      </c>
      <c r="D7" s="3" t="s">
        <v>457</v>
      </c>
      <c r="E7" s="3" t="s">
        <v>121</v>
      </c>
    </row>
    <row r="8" spans="1:5" ht="30" x14ac:dyDescent="0.25">
      <c r="A8" s="5" t="s">
        <v>92</v>
      </c>
      <c r="B8" s="3" t="s">
        <v>458</v>
      </c>
      <c r="C8" s="3" t="s">
        <v>452</v>
      </c>
      <c r="D8" s="3" t="s">
        <v>459</v>
      </c>
      <c r="E8" s="3" t="s">
        <v>121</v>
      </c>
    </row>
    <row r="9" spans="1:5" ht="30" x14ac:dyDescent="0.25">
      <c r="A9" s="5" t="s">
        <v>92</v>
      </c>
      <c r="B9" s="3" t="s">
        <v>460</v>
      </c>
      <c r="C9" s="3" t="s">
        <v>452</v>
      </c>
      <c r="D9" s="3" t="s">
        <v>461</v>
      </c>
      <c r="E9" s="3" t="s">
        <v>121</v>
      </c>
    </row>
    <row r="10" spans="1:5" ht="30" x14ac:dyDescent="0.25">
      <c r="A10" s="5" t="s">
        <v>92</v>
      </c>
      <c r="B10" s="3" t="s">
        <v>462</v>
      </c>
      <c r="C10" s="3" t="s">
        <v>452</v>
      </c>
      <c r="D10" s="3" t="s">
        <v>463</v>
      </c>
      <c r="E10" s="3" t="s">
        <v>121</v>
      </c>
    </row>
  </sheetData>
  <mergeCells count="2">
    <mergeCell ref="A1:E1"/>
    <mergeCell ref="A2:E2"/>
  </mergeCells>
  <conditionalFormatting sqref="A5:A10">
    <cfRule type="expression" dxfId="111" priority="1">
      <formula>A5="☑"</formula>
    </cfRule>
  </conditionalFormatting>
  <conditionalFormatting sqref="E5:E10">
    <cfRule type="expression" dxfId="110" priority="2">
      <formula>$E5="P0"</formula>
    </cfRule>
    <cfRule type="expression" dxfId="109" priority="3">
      <formula>$E5="P1"</formula>
    </cfRule>
    <cfRule type="expression" dxfId="108" priority="4">
      <formula>$E5="P2"</formula>
    </cfRule>
  </conditionalFormatting>
  <dataValidations count="1">
    <dataValidation type="list" sqref="A5:A10" xr:uid="{00000000-0002-0000-0C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4"/>
  <sheetViews>
    <sheetView topLeftCell="A39"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33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464</v>
      </c>
      <c r="C5" s="3" t="s">
        <v>465</v>
      </c>
      <c r="D5" s="3" t="s">
        <v>466</v>
      </c>
      <c r="E5" s="3" t="s">
        <v>116</v>
      </c>
    </row>
    <row r="6" spans="1:5" ht="30" x14ac:dyDescent="0.25">
      <c r="A6" s="5" t="s">
        <v>92</v>
      </c>
      <c r="B6" s="3" t="s">
        <v>467</v>
      </c>
      <c r="C6" s="3" t="s">
        <v>465</v>
      </c>
      <c r="D6" s="3" t="s">
        <v>468</v>
      </c>
      <c r="E6" s="3" t="s">
        <v>116</v>
      </c>
    </row>
    <row r="7" spans="1:5" ht="30" x14ac:dyDescent="0.25">
      <c r="A7" s="5" t="s">
        <v>92</v>
      </c>
      <c r="B7" s="3" t="s">
        <v>469</v>
      </c>
      <c r="C7" s="3" t="s">
        <v>465</v>
      </c>
      <c r="D7" s="3" t="s">
        <v>470</v>
      </c>
      <c r="E7" s="3" t="s">
        <v>116</v>
      </c>
    </row>
    <row r="8" spans="1:5" ht="30" x14ac:dyDescent="0.25">
      <c r="A8" s="5" t="s">
        <v>92</v>
      </c>
      <c r="B8" s="3" t="s">
        <v>471</v>
      </c>
      <c r="C8" s="3" t="s">
        <v>465</v>
      </c>
      <c r="D8" s="3" t="s">
        <v>472</v>
      </c>
      <c r="E8" s="3" t="s">
        <v>116</v>
      </c>
    </row>
    <row r="9" spans="1:5" ht="30" x14ac:dyDescent="0.25">
      <c r="A9" s="5" t="s">
        <v>92</v>
      </c>
      <c r="B9" s="3" t="s">
        <v>473</v>
      </c>
      <c r="C9" s="3" t="s">
        <v>465</v>
      </c>
      <c r="D9" s="3" t="s">
        <v>474</v>
      </c>
      <c r="E9" s="3" t="s">
        <v>116</v>
      </c>
    </row>
    <row r="10" spans="1:5" ht="30" x14ac:dyDescent="0.25">
      <c r="A10" s="5" t="s">
        <v>92</v>
      </c>
      <c r="B10" s="3" t="s">
        <v>475</v>
      </c>
      <c r="C10" s="3" t="s">
        <v>465</v>
      </c>
      <c r="D10" s="3" t="s">
        <v>476</v>
      </c>
      <c r="E10" s="3" t="s">
        <v>116</v>
      </c>
    </row>
    <row r="11" spans="1:5" ht="30" x14ac:dyDescent="0.25">
      <c r="A11" s="5" t="s">
        <v>92</v>
      </c>
      <c r="B11" s="3" t="s">
        <v>477</v>
      </c>
      <c r="C11" s="3" t="s">
        <v>465</v>
      </c>
      <c r="D11" s="3" t="s">
        <v>478</v>
      </c>
      <c r="E11" s="3" t="s">
        <v>116</v>
      </c>
    </row>
    <row r="12" spans="1:5" ht="30" x14ac:dyDescent="0.25">
      <c r="A12" s="5" t="s">
        <v>92</v>
      </c>
      <c r="B12" s="3" t="s">
        <v>479</v>
      </c>
      <c r="C12" s="3" t="s">
        <v>465</v>
      </c>
      <c r="D12" s="3" t="s">
        <v>480</v>
      </c>
      <c r="E12" s="3" t="s">
        <v>116</v>
      </c>
    </row>
    <row r="13" spans="1:5" ht="30" x14ac:dyDescent="0.25">
      <c r="A13" s="5" t="s">
        <v>92</v>
      </c>
      <c r="B13" s="3" t="s">
        <v>481</v>
      </c>
      <c r="C13" s="3" t="s">
        <v>465</v>
      </c>
      <c r="D13" s="3" t="s">
        <v>482</v>
      </c>
      <c r="E13" s="3" t="s">
        <v>121</v>
      </c>
    </row>
    <row r="14" spans="1:5" ht="30" x14ac:dyDescent="0.25">
      <c r="A14" s="5" t="s">
        <v>92</v>
      </c>
      <c r="B14" s="3" t="s">
        <v>483</v>
      </c>
      <c r="C14" s="3" t="s">
        <v>465</v>
      </c>
      <c r="D14" s="3" t="s">
        <v>484</v>
      </c>
      <c r="E14" s="3" t="s">
        <v>121</v>
      </c>
    </row>
    <row r="15" spans="1:5" ht="30" x14ac:dyDescent="0.25">
      <c r="A15" s="5" t="s">
        <v>92</v>
      </c>
      <c r="B15" s="3" t="s">
        <v>485</v>
      </c>
      <c r="C15" s="3" t="s">
        <v>465</v>
      </c>
      <c r="D15" s="3" t="s">
        <v>486</v>
      </c>
      <c r="E15" s="3" t="s">
        <v>121</v>
      </c>
    </row>
    <row r="16" spans="1:5" ht="30" x14ac:dyDescent="0.25">
      <c r="A16" s="5" t="s">
        <v>92</v>
      </c>
      <c r="B16" s="3" t="s">
        <v>487</v>
      </c>
      <c r="C16" s="3" t="s">
        <v>465</v>
      </c>
      <c r="D16" s="3" t="s">
        <v>488</v>
      </c>
      <c r="E16" s="3" t="s">
        <v>121</v>
      </c>
    </row>
    <row r="17" spans="1:5" ht="30" x14ac:dyDescent="0.25">
      <c r="A17" s="5" t="s">
        <v>92</v>
      </c>
      <c r="B17" s="3" t="s">
        <v>489</v>
      </c>
      <c r="C17" s="3" t="s">
        <v>465</v>
      </c>
      <c r="D17" s="3" t="s">
        <v>490</v>
      </c>
      <c r="E17" s="3" t="s">
        <v>121</v>
      </c>
    </row>
    <row r="18" spans="1:5" ht="30" x14ac:dyDescent="0.25">
      <c r="A18" s="5" t="s">
        <v>92</v>
      </c>
      <c r="B18" s="3" t="s">
        <v>491</v>
      </c>
      <c r="C18" s="3" t="s">
        <v>465</v>
      </c>
      <c r="D18" s="3" t="s">
        <v>492</v>
      </c>
      <c r="E18" s="3" t="s">
        <v>121</v>
      </c>
    </row>
    <row r="19" spans="1:5" ht="30" x14ac:dyDescent="0.25">
      <c r="A19" s="5" t="s">
        <v>92</v>
      </c>
      <c r="B19" s="3" t="s">
        <v>493</v>
      </c>
      <c r="C19" s="3" t="s">
        <v>465</v>
      </c>
      <c r="D19" s="3" t="s">
        <v>494</v>
      </c>
      <c r="E19" s="3" t="s">
        <v>121</v>
      </c>
    </row>
    <row r="20" spans="1:5" ht="30" x14ac:dyDescent="0.25">
      <c r="A20" s="5" t="s">
        <v>92</v>
      </c>
      <c r="B20" s="3" t="s">
        <v>495</v>
      </c>
      <c r="C20" s="3" t="s">
        <v>465</v>
      </c>
      <c r="D20" s="3" t="s">
        <v>496</v>
      </c>
      <c r="E20" s="3" t="s">
        <v>121</v>
      </c>
    </row>
    <row r="21" spans="1:5" ht="30" x14ac:dyDescent="0.25">
      <c r="A21" s="5" t="s">
        <v>92</v>
      </c>
      <c r="B21" s="3" t="s">
        <v>497</v>
      </c>
      <c r="C21" s="3" t="s">
        <v>465</v>
      </c>
      <c r="D21" s="3" t="s">
        <v>498</v>
      </c>
      <c r="E21" s="3" t="s">
        <v>121</v>
      </c>
    </row>
    <row r="22" spans="1:5" ht="30" x14ac:dyDescent="0.25">
      <c r="A22" s="5" t="s">
        <v>92</v>
      </c>
      <c r="B22" s="3" t="s">
        <v>499</v>
      </c>
      <c r="C22" s="3" t="s">
        <v>465</v>
      </c>
      <c r="D22" s="3" t="s">
        <v>500</v>
      </c>
      <c r="E22" s="3" t="s">
        <v>121</v>
      </c>
    </row>
    <row r="23" spans="1:5" ht="30" x14ac:dyDescent="0.25">
      <c r="A23" s="5" t="s">
        <v>92</v>
      </c>
      <c r="B23" s="3" t="s">
        <v>501</v>
      </c>
      <c r="C23" s="3" t="s">
        <v>465</v>
      </c>
      <c r="D23" s="3" t="s">
        <v>502</v>
      </c>
      <c r="E23" s="3" t="s">
        <v>121</v>
      </c>
    </row>
    <row r="24" spans="1:5" ht="30" x14ac:dyDescent="0.25">
      <c r="A24" s="5" t="s">
        <v>92</v>
      </c>
      <c r="B24" s="3" t="s">
        <v>503</v>
      </c>
      <c r="C24" s="3" t="s">
        <v>465</v>
      </c>
      <c r="D24" s="3" t="s">
        <v>504</v>
      </c>
      <c r="E24" s="3" t="s">
        <v>121</v>
      </c>
    </row>
    <row r="25" spans="1:5" ht="30" x14ac:dyDescent="0.25">
      <c r="A25" s="5" t="s">
        <v>92</v>
      </c>
      <c r="B25" s="3" t="s">
        <v>505</v>
      </c>
      <c r="C25" s="3" t="s">
        <v>465</v>
      </c>
      <c r="D25" s="3" t="s">
        <v>506</v>
      </c>
      <c r="E25" s="3" t="s">
        <v>121</v>
      </c>
    </row>
    <row r="26" spans="1:5" ht="30" x14ac:dyDescent="0.25">
      <c r="A26" s="5" t="s">
        <v>92</v>
      </c>
      <c r="B26" s="3" t="s">
        <v>507</v>
      </c>
      <c r="C26" s="3" t="s">
        <v>465</v>
      </c>
      <c r="D26" s="3" t="s">
        <v>508</v>
      </c>
      <c r="E26" s="3" t="s">
        <v>121</v>
      </c>
    </row>
    <row r="27" spans="1:5" ht="30" x14ac:dyDescent="0.25">
      <c r="A27" s="5" t="s">
        <v>92</v>
      </c>
      <c r="B27" s="3" t="s">
        <v>509</v>
      </c>
      <c r="C27" s="3" t="s">
        <v>465</v>
      </c>
      <c r="D27" s="3" t="s">
        <v>510</v>
      </c>
      <c r="E27" s="3" t="s">
        <v>121</v>
      </c>
    </row>
    <row r="28" spans="1:5" ht="30" x14ac:dyDescent="0.25">
      <c r="A28" s="5" t="s">
        <v>92</v>
      </c>
      <c r="B28" s="3" t="s">
        <v>511</v>
      </c>
      <c r="C28" s="3" t="s">
        <v>465</v>
      </c>
      <c r="D28" s="3" t="s">
        <v>512</v>
      </c>
      <c r="E28" s="3" t="s">
        <v>121</v>
      </c>
    </row>
    <row r="29" spans="1:5" ht="30" x14ac:dyDescent="0.25">
      <c r="A29" s="5" t="s">
        <v>92</v>
      </c>
      <c r="B29" s="3" t="s">
        <v>513</v>
      </c>
      <c r="C29" s="3" t="s">
        <v>465</v>
      </c>
      <c r="D29" s="3" t="s">
        <v>514</v>
      </c>
      <c r="E29" s="3" t="s">
        <v>121</v>
      </c>
    </row>
    <row r="30" spans="1:5" ht="30" x14ac:dyDescent="0.25">
      <c r="A30" s="5" t="s">
        <v>92</v>
      </c>
      <c r="B30" s="3" t="s">
        <v>515</v>
      </c>
      <c r="C30" s="3" t="s">
        <v>465</v>
      </c>
      <c r="D30" s="3" t="s">
        <v>516</v>
      </c>
      <c r="E30" s="3" t="s">
        <v>121</v>
      </c>
    </row>
    <row r="31" spans="1:5" ht="30" x14ac:dyDescent="0.25">
      <c r="A31" s="5" t="s">
        <v>92</v>
      </c>
      <c r="B31" s="3" t="s">
        <v>517</v>
      </c>
      <c r="C31" s="3" t="s">
        <v>465</v>
      </c>
      <c r="D31" s="3" t="s">
        <v>518</v>
      </c>
      <c r="E31" s="3" t="s">
        <v>121</v>
      </c>
    </row>
    <row r="32" spans="1:5" ht="30" x14ac:dyDescent="0.25">
      <c r="A32" s="5" t="s">
        <v>92</v>
      </c>
      <c r="B32" s="3" t="s">
        <v>519</v>
      </c>
      <c r="C32" s="3" t="s">
        <v>465</v>
      </c>
      <c r="D32" s="3" t="s">
        <v>520</v>
      </c>
      <c r="E32" s="3" t="s">
        <v>121</v>
      </c>
    </row>
    <row r="33" spans="1:5" ht="30" x14ac:dyDescent="0.25">
      <c r="A33" s="5" t="s">
        <v>92</v>
      </c>
      <c r="B33" s="3" t="s">
        <v>521</v>
      </c>
      <c r="C33" s="3" t="s">
        <v>465</v>
      </c>
      <c r="D33" s="3" t="s">
        <v>522</v>
      </c>
      <c r="E33" s="3" t="s">
        <v>116</v>
      </c>
    </row>
    <row r="34" spans="1:5" ht="30" x14ac:dyDescent="0.25">
      <c r="A34" s="5" t="s">
        <v>92</v>
      </c>
      <c r="B34" s="3" t="s">
        <v>523</v>
      </c>
      <c r="C34" s="3" t="s">
        <v>465</v>
      </c>
      <c r="D34" s="3" t="s">
        <v>524</v>
      </c>
      <c r="E34" s="3" t="s">
        <v>116</v>
      </c>
    </row>
    <row r="35" spans="1:5" ht="30" x14ac:dyDescent="0.25">
      <c r="A35" s="5" t="s">
        <v>92</v>
      </c>
      <c r="B35" s="3" t="s">
        <v>525</v>
      </c>
      <c r="C35" s="3" t="s">
        <v>465</v>
      </c>
      <c r="D35" s="3" t="s">
        <v>526</v>
      </c>
      <c r="E35" s="3" t="s">
        <v>116</v>
      </c>
    </row>
    <row r="36" spans="1:5" ht="30" x14ac:dyDescent="0.25">
      <c r="A36" s="5" t="s">
        <v>92</v>
      </c>
      <c r="B36" s="3" t="s">
        <v>527</v>
      </c>
      <c r="C36" s="3" t="s">
        <v>465</v>
      </c>
      <c r="D36" s="3" t="s">
        <v>528</v>
      </c>
      <c r="E36" s="3" t="s">
        <v>116</v>
      </c>
    </row>
    <row r="37" spans="1:5" ht="30" x14ac:dyDescent="0.25">
      <c r="A37" s="5" t="s">
        <v>92</v>
      </c>
      <c r="B37" s="3" t="s">
        <v>529</v>
      </c>
      <c r="C37" s="3" t="s">
        <v>465</v>
      </c>
      <c r="D37" s="3" t="s">
        <v>530</v>
      </c>
      <c r="E37" s="3" t="s">
        <v>121</v>
      </c>
    </row>
    <row r="38" spans="1:5" ht="30" x14ac:dyDescent="0.25">
      <c r="A38" s="5" t="s">
        <v>92</v>
      </c>
      <c r="B38" s="3" t="s">
        <v>531</v>
      </c>
      <c r="C38" s="3" t="s">
        <v>465</v>
      </c>
      <c r="D38" s="3" t="s">
        <v>532</v>
      </c>
      <c r="E38" s="3" t="s">
        <v>121</v>
      </c>
    </row>
    <row r="39" spans="1:5" ht="30" x14ac:dyDescent="0.25">
      <c r="A39" s="5" t="s">
        <v>92</v>
      </c>
      <c r="B39" s="3" t="s">
        <v>533</v>
      </c>
      <c r="C39" s="3" t="s">
        <v>465</v>
      </c>
      <c r="D39" s="3" t="s">
        <v>534</v>
      </c>
      <c r="E39" s="3" t="s">
        <v>121</v>
      </c>
    </row>
    <row r="40" spans="1:5" ht="30" x14ac:dyDescent="0.25">
      <c r="A40" s="5" t="s">
        <v>92</v>
      </c>
      <c r="B40" s="3" t="s">
        <v>535</v>
      </c>
      <c r="C40" s="3" t="s">
        <v>465</v>
      </c>
      <c r="D40" s="3" t="s">
        <v>536</v>
      </c>
      <c r="E40" s="3" t="s">
        <v>121</v>
      </c>
    </row>
    <row r="41" spans="1:5" ht="30" x14ac:dyDescent="0.25">
      <c r="A41" s="5" t="s">
        <v>92</v>
      </c>
      <c r="B41" s="3" t="s">
        <v>537</v>
      </c>
      <c r="C41" s="3" t="s">
        <v>465</v>
      </c>
      <c r="D41" s="3" t="s">
        <v>538</v>
      </c>
      <c r="E41" s="3" t="s">
        <v>121</v>
      </c>
    </row>
    <row r="42" spans="1:5" ht="30" x14ac:dyDescent="0.25">
      <c r="A42" s="5" t="s">
        <v>92</v>
      </c>
      <c r="B42" s="3" t="s">
        <v>539</v>
      </c>
      <c r="C42" s="3" t="s">
        <v>465</v>
      </c>
      <c r="D42" s="3" t="s">
        <v>540</v>
      </c>
      <c r="E42" s="3" t="s">
        <v>121</v>
      </c>
    </row>
    <row r="43" spans="1:5" ht="30" x14ac:dyDescent="0.25">
      <c r="A43" s="5" t="s">
        <v>92</v>
      </c>
      <c r="B43" s="3" t="s">
        <v>541</v>
      </c>
      <c r="C43" s="3" t="s">
        <v>465</v>
      </c>
      <c r="D43" s="3" t="s">
        <v>542</v>
      </c>
      <c r="E43" s="3" t="s">
        <v>121</v>
      </c>
    </row>
    <row r="44" spans="1:5" ht="30" x14ac:dyDescent="0.25">
      <c r="A44" s="5" t="s">
        <v>92</v>
      </c>
      <c r="B44" s="3" t="s">
        <v>543</v>
      </c>
      <c r="C44" s="3" t="s">
        <v>465</v>
      </c>
      <c r="D44" s="3" t="s">
        <v>544</v>
      </c>
      <c r="E44" s="3" t="s">
        <v>121</v>
      </c>
    </row>
  </sheetData>
  <mergeCells count="2">
    <mergeCell ref="A1:E1"/>
    <mergeCell ref="A2:E2"/>
  </mergeCells>
  <conditionalFormatting sqref="A5:A44">
    <cfRule type="expression" dxfId="107" priority="1">
      <formula>A5="☑"</formula>
    </cfRule>
  </conditionalFormatting>
  <conditionalFormatting sqref="E5:E44">
    <cfRule type="expression" dxfId="106" priority="2">
      <formula>$E5="P0"</formula>
    </cfRule>
    <cfRule type="expression" dxfId="105" priority="3">
      <formula>$E5="P1"</formula>
    </cfRule>
    <cfRule type="expression" dxfId="104" priority="4">
      <formula>$E5="P2"</formula>
    </cfRule>
  </conditionalFormatting>
  <dataValidations count="1">
    <dataValidation type="list" sqref="A5:A44" xr:uid="{00000000-0002-0000-0D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5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35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545</v>
      </c>
      <c r="C5" s="3" t="s">
        <v>546</v>
      </c>
      <c r="D5" s="3" t="s">
        <v>547</v>
      </c>
      <c r="E5" s="3" t="s">
        <v>116</v>
      </c>
    </row>
    <row r="6" spans="1:5" x14ac:dyDescent="0.25">
      <c r="A6" s="5" t="s">
        <v>92</v>
      </c>
      <c r="B6" s="3" t="s">
        <v>548</v>
      </c>
      <c r="C6" s="3" t="s">
        <v>546</v>
      </c>
      <c r="D6" s="3" t="s">
        <v>549</v>
      </c>
      <c r="E6" s="3" t="s">
        <v>116</v>
      </c>
    </row>
    <row r="7" spans="1:5" x14ac:dyDescent="0.25">
      <c r="A7" s="5" t="s">
        <v>92</v>
      </c>
      <c r="B7" s="3" t="s">
        <v>550</v>
      </c>
      <c r="C7" s="3" t="s">
        <v>546</v>
      </c>
      <c r="D7" s="3" t="s">
        <v>551</v>
      </c>
      <c r="E7" s="3" t="s">
        <v>116</v>
      </c>
    </row>
    <row r="8" spans="1:5" x14ac:dyDescent="0.25">
      <c r="A8" s="5" t="s">
        <v>92</v>
      </c>
      <c r="B8" s="3" t="s">
        <v>552</v>
      </c>
      <c r="C8" s="3" t="s">
        <v>546</v>
      </c>
      <c r="D8" s="3" t="s">
        <v>553</v>
      </c>
      <c r="E8" s="3" t="s">
        <v>121</v>
      </c>
    </row>
    <row r="9" spans="1:5" x14ac:dyDescent="0.25">
      <c r="A9" s="5" t="s">
        <v>92</v>
      </c>
      <c r="B9" s="3" t="s">
        <v>554</v>
      </c>
      <c r="C9" s="3" t="s">
        <v>546</v>
      </c>
      <c r="D9" s="3" t="s">
        <v>555</v>
      </c>
      <c r="E9" s="3" t="s">
        <v>121</v>
      </c>
    </row>
    <row r="10" spans="1:5" x14ac:dyDescent="0.25">
      <c r="A10" s="5" t="s">
        <v>92</v>
      </c>
      <c r="B10" s="3" t="s">
        <v>556</v>
      </c>
      <c r="C10" s="3" t="s">
        <v>557</v>
      </c>
      <c r="D10" s="3" t="s">
        <v>558</v>
      </c>
      <c r="E10" s="3" t="s">
        <v>142</v>
      </c>
    </row>
    <row r="11" spans="1:5" x14ac:dyDescent="0.25">
      <c r="A11" s="5" t="s">
        <v>92</v>
      </c>
      <c r="B11" s="3" t="s">
        <v>559</v>
      </c>
      <c r="C11" s="3" t="s">
        <v>557</v>
      </c>
      <c r="D11" s="3" t="s">
        <v>560</v>
      </c>
      <c r="E11" s="3" t="s">
        <v>142</v>
      </c>
    </row>
    <row r="12" spans="1:5" x14ac:dyDescent="0.25">
      <c r="A12" s="5" t="s">
        <v>92</v>
      </c>
      <c r="B12" s="3" t="s">
        <v>561</v>
      </c>
      <c r="C12" s="3" t="s">
        <v>557</v>
      </c>
      <c r="D12" s="3" t="s">
        <v>562</v>
      </c>
      <c r="E12" s="3" t="s">
        <v>142</v>
      </c>
    </row>
    <row r="13" spans="1:5" x14ac:dyDescent="0.25">
      <c r="A13" s="5" t="s">
        <v>92</v>
      </c>
      <c r="B13" s="3" t="s">
        <v>563</v>
      </c>
      <c r="C13" s="3" t="s">
        <v>557</v>
      </c>
      <c r="D13" s="3" t="s">
        <v>564</v>
      </c>
      <c r="E13" s="3" t="s">
        <v>142</v>
      </c>
    </row>
    <row r="14" spans="1:5" x14ac:dyDescent="0.25">
      <c r="A14" s="5" t="s">
        <v>92</v>
      </c>
      <c r="B14" s="3" t="s">
        <v>565</v>
      </c>
      <c r="C14" s="3" t="s">
        <v>557</v>
      </c>
      <c r="D14" s="3" t="s">
        <v>566</v>
      </c>
      <c r="E14" s="3" t="s">
        <v>142</v>
      </c>
    </row>
    <row r="15" spans="1:5" ht="30" x14ac:dyDescent="0.25">
      <c r="A15" s="5" t="s">
        <v>92</v>
      </c>
      <c r="B15" s="3" t="s">
        <v>567</v>
      </c>
      <c r="C15" s="3" t="s">
        <v>557</v>
      </c>
      <c r="D15" s="3" t="s">
        <v>568</v>
      </c>
      <c r="E15" s="3" t="s">
        <v>142</v>
      </c>
    </row>
  </sheetData>
  <mergeCells count="2">
    <mergeCell ref="A1:E1"/>
    <mergeCell ref="A2:E2"/>
  </mergeCells>
  <conditionalFormatting sqref="A5:A15">
    <cfRule type="expression" dxfId="103" priority="1">
      <formula>A5="☑"</formula>
    </cfRule>
  </conditionalFormatting>
  <conditionalFormatting sqref="E5:E15">
    <cfRule type="expression" dxfId="102" priority="2">
      <formula>$E5="P0"</formula>
    </cfRule>
    <cfRule type="expression" dxfId="101" priority="3">
      <formula>$E5="P1"</formula>
    </cfRule>
    <cfRule type="expression" dxfId="100" priority="4">
      <formula>$E5="P2"</formula>
    </cfRule>
  </conditionalFormatting>
  <dataValidations count="1">
    <dataValidation type="list" sqref="A5:A15" xr:uid="{00000000-0002-0000-0E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8"/>
  <sheetViews>
    <sheetView workbookViewId="0">
      <selection activeCell="H13" sqref="H13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37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45" x14ac:dyDescent="0.25">
      <c r="A5" s="5" t="s">
        <v>92</v>
      </c>
      <c r="B5" s="3" t="s">
        <v>569</v>
      </c>
      <c r="C5" s="3" t="s">
        <v>570</v>
      </c>
      <c r="D5" s="3" t="s">
        <v>571</v>
      </c>
      <c r="E5" s="3" t="s">
        <v>116</v>
      </c>
    </row>
    <row r="6" spans="1:5" ht="45" x14ac:dyDescent="0.25">
      <c r="A6" s="5" t="s">
        <v>92</v>
      </c>
      <c r="B6" s="3" t="s">
        <v>572</v>
      </c>
      <c r="C6" s="3" t="s">
        <v>570</v>
      </c>
      <c r="D6" s="3" t="s">
        <v>573</v>
      </c>
      <c r="E6" s="3" t="s">
        <v>116</v>
      </c>
    </row>
    <row r="7" spans="1:5" ht="45" x14ac:dyDescent="0.25">
      <c r="A7" s="5" t="s">
        <v>92</v>
      </c>
      <c r="B7" s="3" t="s">
        <v>574</v>
      </c>
      <c r="C7" s="3" t="s">
        <v>570</v>
      </c>
      <c r="D7" s="3" t="s">
        <v>575</v>
      </c>
      <c r="E7" s="3" t="s">
        <v>116</v>
      </c>
    </row>
    <row r="8" spans="1:5" ht="45" x14ac:dyDescent="0.25">
      <c r="A8" s="5" t="s">
        <v>92</v>
      </c>
      <c r="B8" s="3" t="s">
        <v>576</v>
      </c>
      <c r="C8" s="3" t="s">
        <v>570</v>
      </c>
      <c r="D8" s="3" t="s">
        <v>577</v>
      </c>
      <c r="E8" s="3" t="s">
        <v>116</v>
      </c>
    </row>
    <row r="9" spans="1:5" ht="45" x14ac:dyDescent="0.25">
      <c r="A9" s="5" t="s">
        <v>92</v>
      </c>
      <c r="B9" s="3" t="s">
        <v>578</v>
      </c>
      <c r="C9" s="3" t="s">
        <v>570</v>
      </c>
      <c r="D9" s="3" t="s">
        <v>579</v>
      </c>
      <c r="E9" s="3" t="s">
        <v>116</v>
      </c>
    </row>
    <row r="10" spans="1:5" ht="45" x14ac:dyDescent="0.25">
      <c r="A10" s="5" t="s">
        <v>92</v>
      </c>
      <c r="B10" s="3" t="s">
        <v>580</v>
      </c>
      <c r="C10" s="3" t="s">
        <v>570</v>
      </c>
      <c r="D10" s="3" t="s">
        <v>581</v>
      </c>
      <c r="E10" s="3" t="s">
        <v>116</v>
      </c>
    </row>
    <row r="11" spans="1:5" ht="45" x14ac:dyDescent="0.25">
      <c r="A11" s="5" t="s">
        <v>92</v>
      </c>
      <c r="B11" s="3" t="s">
        <v>582</v>
      </c>
      <c r="C11" s="3" t="s">
        <v>570</v>
      </c>
      <c r="D11" s="3" t="s">
        <v>583</v>
      </c>
      <c r="E11" s="3" t="s">
        <v>116</v>
      </c>
    </row>
    <row r="12" spans="1:5" ht="45" x14ac:dyDescent="0.25">
      <c r="A12" s="5" t="s">
        <v>92</v>
      </c>
      <c r="B12" s="3" t="s">
        <v>584</v>
      </c>
      <c r="C12" s="3" t="s">
        <v>570</v>
      </c>
      <c r="D12" s="3" t="s">
        <v>585</v>
      </c>
      <c r="E12" s="3" t="s">
        <v>116</v>
      </c>
    </row>
    <row r="13" spans="1:5" x14ac:dyDescent="0.25">
      <c r="A13" s="5" t="s">
        <v>92</v>
      </c>
      <c r="B13" s="3" t="s">
        <v>586</v>
      </c>
      <c r="C13" s="3" t="s">
        <v>587</v>
      </c>
      <c r="D13" s="3" t="s">
        <v>588</v>
      </c>
      <c r="E13" s="3" t="s">
        <v>116</v>
      </c>
    </row>
    <row r="14" spans="1:5" ht="45" x14ac:dyDescent="0.25">
      <c r="A14" s="5" t="s">
        <v>92</v>
      </c>
      <c r="B14" s="3" t="s">
        <v>589</v>
      </c>
      <c r="C14" s="3" t="s">
        <v>570</v>
      </c>
      <c r="D14" s="3" t="s">
        <v>590</v>
      </c>
      <c r="E14" s="3" t="s">
        <v>121</v>
      </c>
    </row>
    <row r="15" spans="1:5" ht="45" x14ac:dyDescent="0.25">
      <c r="A15" s="5" t="s">
        <v>92</v>
      </c>
      <c r="B15" s="3" t="s">
        <v>591</v>
      </c>
      <c r="C15" s="3" t="s">
        <v>570</v>
      </c>
      <c r="D15" s="3" t="s">
        <v>592</v>
      </c>
      <c r="E15" s="3" t="s">
        <v>121</v>
      </c>
    </row>
    <row r="16" spans="1:5" ht="30" x14ac:dyDescent="0.25">
      <c r="A16" s="5" t="s">
        <v>92</v>
      </c>
      <c r="B16" s="3" t="s">
        <v>593</v>
      </c>
      <c r="C16" s="3" t="s">
        <v>570</v>
      </c>
      <c r="D16" s="3" t="s">
        <v>594</v>
      </c>
      <c r="E16" s="3" t="s">
        <v>121</v>
      </c>
    </row>
    <row r="17" spans="1:5" ht="30" x14ac:dyDescent="0.25">
      <c r="A17" s="5" t="s">
        <v>92</v>
      </c>
      <c r="B17" s="3" t="s">
        <v>595</v>
      </c>
      <c r="C17" s="3" t="s">
        <v>570</v>
      </c>
      <c r="D17" s="3" t="s">
        <v>596</v>
      </c>
      <c r="E17" s="3" t="s">
        <v>121</v>
      </c>
    </row>
    <row r="18" spans="1:5" ht="30" x14ac:dyDescent="0.25">
      <c r="A18" s="5" t="s">
        <v>92</v>
      </c>
      <c r="B18" s="3" t="s">
        <v>597</v>
      </c>
      <c r="C18" s="3" t="s">
        <v>570</v>
      </c>
      <c r="D18" s="3" t="s">
        <v>598</v>
      </c>
      <c r="E18" s="3" t="s">
        <v>121</v>
      </c>
    </row>
    <row r="19" spans="1:5" ht="30" x14ac:dyDescent="0.25">
      <c r="A19" s="5" t="s">
        <v>92</v>
      </c>
      <c r="B19" s="3" t="s">
        <v>599</v>
      </c>
      <c r="C19" s="3" t="s">
        <v>570</v>
      </c>
      <c r="D19" s="3" t="s">
        <v>600</v>
      </c>
      <c r="E19" s="3" t="s">
        <v>121</v>
      </c>
    </row>
    <row r="20" spans="1:5" ht="30" x14ac:dyDescent="0.25">
      <c r="A20" s="5" t="s">
        <v>92</v>
      </c>
      <c r="B20" s="3" t="s">
        <v>601</v>
      </c>
      <c r="C20" s="3" t="s">
        <v>570</v>
      </c>
      <c r="D20" s="3" t="s">
        <v>602</v>
      </c>
      <c r="E20" s="3" t="s">
        <v>121</v>
      </c>
    </row>
    <row r="21" spans="1:5" ht="45" x14ac:dyDescent="0.25">
      <c r="A21" s="5" t="s">
        <v>92</v>
      </c>
      <c r="B21" s="3" t="s">
        <v>603</v>
      </c>
      <c r="C21" s="3" t="s">
        <v>570</v>
      </c>
      <c r="D21" s="3" t="s">
        <v>604</v>
      </c>
      <c r="E21" s="3" t="s">
        <v>121</v>
      </c>
    </row>
    <row r="22" spans="1:5" x14ac:dyDescent="0.25">
      <c r="A22" s="5" t="s">
        <v>92</v>
      </c>
      <c r="B22" s="3" t="s">
        <v>605</v>
      </c>
      <c r="C22" s="3" t="s">
        <v>587</v>
      </c>
      <c r="D22" s="3" t="s">
        <v>606</v>
      </c>
      <c r="E22" s="3" t="s">
        <v>121</v>
      </c>
    </row>
    <row r="23" spans="1:5" ht="30" x14ac:dyDescent="0.25">
      <c r="A23" s="5" t="s">
        <v>92</v>
      </c>
      <c r="B23" s="3" t="s">
        <v>607</v>
      </c>
      <c r="C23" s="3" t="s">
        <v>570</v>
      </c>
      <c r="D23" s="3" t="s">
        <v>608</v>
      </c>
      <c r="E23" s="3" t="s">
        <v>121</v>
      </c>
    </row>
    <row r="24" spans="1:5" ht="30" x14ac:dyDescent="0.25">
      <c r="A24" s="5" t="s">
        <v>92</v>
      </c>
      <c r="B24" s="3" t="s">
        <v>609</v>
      </c>
      <c r="C24" s="3" t="s">
        <v>570</v>
      </c>
      <c r="D24" s="3" t="s">
        <v>610</v>
      </c>
      <c r="E24" s="3" t="s">
        <v>121</v>
      </c>
    </row>
    <row r="25" spans="1:5" ht="30" x14ac:dyDescent="0.25">
      <c r="A25" s="5" t="s">
        <v>92</v>
      </c>
      <c r="B25" s="3" t="s">
        <v>611</v>
      </c>
      <c r="C25" s="3" t="s">
        <v>570</v>
      </c>
      <c r="D25" s="3" t="s">
        <v>612</v>
      </c>
      <c r="E25" s="3" t="s">
        <v>121</v>
      </c>
    </row>
    <row r="26" spans="1:5" ht="30" x14ac:dyDescent="0.25">
      <c r="A26" s="5" t="s">
        <v>92</v>
      </c>
      <c r="B26" s="3" t="s">
        <v>613</v>
      </c>
      <c r="C26" s="3" t="s">
        <v>570</v>
      </c>
      <c r="D26" s="3" t="s">
        <v>614</v>
      </c>
      <c r="E26" s="3" t="s">
        <v>121</v>
      </c>
    </row>
    <row r="27" spans="1:5" ht="30" x14ac:dyDescent="0.25">
      <c r="A27" s="5" t="s">
        <v>92</v>
      </c>
      <c r="B27" s="3" t="s">
        <v>615</v>
      </c>
      <c r="C27" s="3" t="s">
        <v>570</v>
      </c>
      <c r="D27" s="3" t="s">
        <v>616</v>
      </c>
      <c r="E27" s="3" t="s">
        <v>121</v>
      </c>
    </row>
    <row r="28" spans="1:5" ht="30" x14ac:dyDescent="0.25">
      <c r="A28" s="5" t="s">
        <v>92</v>
      </c>
      <c r="B28" s="3" t="s">
        <v>617</v>
      </c>
      <c r="C28" s="3" t="s">
        <v>570</v>
      </c>
      <c r="D28" s="3" t="s">
        <v>618</v>
      </c>
      <c r="E28" s="3" t="s">
        <v>121</v>
      </c>
    </row>
    <row r="29" spans="1:5" ht="30" x14ac:dyDescent="0.25">
      <c r="A29" s="5" t="s">
        <v>92</v>
      </c>
      <c r="B29" s="3" t="s">
        <v>619</v>
      </c>
      <c r="C29" s="3" t="s">
        <v>570</v>
      </c>
      <c r="D29" s="3" t="s">
        <v>620</v>
      </c>
      <c r="E29" s="3" t="s">
        <v>121</v>
      </c>
    </row>
    <row r="30" spans="1:5" ht="30" x14ac:dyDescent="0.25">
      <c r="A30" s="5" t="s">
        <v>92</v>
      </c>
      <c r="B30" s="3" t="s">
        <v>621</v>
      </c>
      <c r="C30" s="3" t="s">
        <v>570</v>
      </c>
      <c r="D30" s="3" t="s">
        <v>622</v>
      </c>
      <c r="E30" s="3" t="s">
        <v>121</v>
      </c>
    </row>
    <row r="31" spans="1:5" x14ac:dyDescent="0.25">
      <c r="A31" s="5" t="s">
        <v>92</v>
      </c>
      <c r="B31" s="3" t="s">
        <v>623</v>
      </c>
      <c r="C31" s="3" t="s">
        <v>587</v>
      </c>
      <c r="D31" s="3" t="s">
        <v>624</v>
      </c>
      <c r="E31" s="3" t="s">
        <v>121</v>
      </c>
    </row>
    <row r="32" spans="1:5" ht="30" x14ac:dyDescent="0.25">
      <c r="A32" s="5" t="s">
        <v>92</v>
      </c>
      <c r="B32" s="3" t="s">
        <v>625</v>
      </c>
      <c r="C32" s="3" t="s">
        <v>570</v>
      </c>
      <c r="D32" s="3" t="s">
        <v>626</v>
      </c>
      <c r="E32" s="3" t="s">
        <v>121</v>
      </c>
    </row>
    <row r="33" spans="1:5" ht="30" x14ac:dyDescent="0.25">
      <c r="A33" s="5" t="s">
        <v>92</v>
      </c>
      <c r="B33" s="3" t="s">
        <v>627</v>
      </c>
      <c r="C33" s="3" t="s">
        <v>570</v>
      </c>
      <c r="D33" s="3" t="s">
        <v>628</v>
      </c>
      <c r="E33" s="3" t="s">
        <v>121</v>
      </c>
    </row>
    <row r="34" spans="1:5" ht="30" x14ac:dyDescent="0.25">
      <c r="A34" s="5" t="s">
        <v>92</v>
      </c>
      <c r="B34" s="3" t="s">
        <v>629</v>
      </c>
      <c r="C34" s="3" t="s">
        <v>570</v>
      </c>
      <c r="D34" s="3" t="s">
        <v>630</v>
      </c>
      <c r="E34" s="3" t="s">
        <v>121</v>
      </c>
    </row>
    <row r="35" spans="1:5" ht="30" x14ac:dyDescent="0.25">
      <c r="A35" s="5" t="s">
        <v>92</v>
      </c>
      <c r="B35" s="3" t="s">
        <v>631</v>
      </c>
      <c r="C35" s="3" t="s">
        <v>570</v>
      </c>
      <c r="D35" s="3" t="s">
        <v>632</v>
      </c>
      <c r="E35" s="3" t="s">
        <v>121</v>
      </c>
    </row>
    <row r="36" spans="1:5" ht="30" x14ac:dyDescent="0.25">
      <c r="A36" s="5" t="s">
        <v>92</v>
      </c>
      <c r="B36" s="3" t="s">
        <v>633</v>
      </c>
      <c r="C36" s="3" t="s">
        <v>570</v>
      </c>
      <c r="D36" s="3" t="s">
        <v>634</v>
      </c>
      <c r="E36" s="3" t="s">
        <v>121</v>
      </c>
    </row>
    <row r="37" spans="1:5" ht="30" x14ac:dyDescent="0.25">
      <c r="A37" s="5" t="s">
        <v>92</v>
      </c>
      <c r="B37" s="3" t="s">
        <v>635</v>
      </c>
      <c r="C37" s="3" t="s">
        <v>570</v>
      </c>
      <c r="D37" s="3" t="s">
        <v>636</v>
      </c>
      <c r="E37" s="3" t="s">
        <v>121</v>
      </c>
    </row>
    <row r="38" spans="1:5" ht="30" x14ac:dyDescent="0.25">
      <c r="A38" s="5" t="s">
        <v>92</v>
      </c>
      <c r="B38" s="3" t="s">
        <v>637</v>
      </c>
      <c r="C38" s="3" t="s">
        <v>570</v>
      </c>
      <c r="D38" s="3" t="s">
        <v>638</v>
      </c>
      <c r="E38" s="3" t="s">
        <v>121</v>
      </c>
    </row>
    <row r="39" spans="1:5" ht="30" x14ac:dyDescent="0.25">
      <c r="A39" s="5" t="s">
        <v>92</v>
      </c>
      <c r="B39" s="3" t="s">
        <v>639</v>
      </c>
      <c r="C39" s="3" t="s">
        <v>570</v>
      </c>
      <c r="D39" s="3" t="s">
        <v>640</v>
      </c>
      <c r="E39" s="3" t="s">
        <v>121</v>
      </c>
    </row>
    <row r="40" spans="1:5" x14ac:dyDescent="0.25">
      <c r="A40" s="5" t="s">
        <v>92</v>
      </c>
      <c r="B40" s="3" t="s">
        <v>641</v>
      </c>
      <c r="C40" s="3" t="s">
        <v>587</v>
      </c>
      <c r="D40" s="3" t="s">
        <v>642</v>
      </c>
      <c r="E40" s="3" t="s">
        <v>121</v>
      </c>
    </row>
    <row r="41" spans="1:5" ht="45" x14ac:dyDescent="0.25">
      <c r="A41" s="5" t="s">
        <v>92</v>
      </c>
      <c r="B41" s="3" t="s">
        <v>643</v>
      </c>
      <c r="C41" s="3" t="s">
        <v>570</v>
      </c>
      <c r="D41" s="3" t="s">
        <v>644</v>
      </c>
      <c r="E41" s="3" t="s">
        <v>121</v>
      </c>
    </row>
    <row r="42" spans="1:5" ht="45" x14ac:dyDescent="0.25">
      <c r="A42" s="5" t="s">
        <v>92</v>
      </c>
      <c r="B42" s="3" t="s">
        <v>645</v>
      </c>
      <c r="C42" s="3" t="s">
        <v>570</v>
      </c>
      <c r="D42" s="3" t="s">
        <v>646</v>
      </c>
      <c r="E42" s="3" t="s">
        <v>121</v>
      </c>
    </row>
    <row r="43" spans="1:5" ht="30" x14ac:dyDescent="0.25">
      <c r="A43" s="5" t="s">
        <v>92</v>
      </c>
      <c r="B43" s="3" t="s">
        <v>647</v>
      </c>
      <c r="C43" s="3" t="s">
        <v>570</v>
      </c>
      <c r="D43" s="3" t="s">
        <v>648</v>
      </c>
      <c r="E43" s="3" t="s">
        <v>121</v>
      </c>
    </row>
    <row r="44" spans="1:5" ht="30" x14ac:dyDescent="0.25">
      <c r="A44" s="5" t="s">
        <v>92</v>
      </c>
      <c r="B44" s="3" t="s">
        <v>649</v>
      </c>
      <c r="C44" s="3" t="s">
        <v>570</v>
      </c>
      <c r="D44" s="3" t="s">
        <v>650</v>
      </c>
      <c r="E44" s="3" t="s">
        <v>121</v>
      </c>
    </row>
    <row r="45" spans="1:5" ht="30" x14ac:dyDescent="0.25">
      <c r="A45" s="5" t="s">
        <v>92</v>
      </c>
      <c r="B45" s="3" t="s">
        <v>651</v>
      </c>
      <c r="C45" s="3" t="s">
        <v>570</v>
      </c>
      <c r="D45" s="3" t="s">
        <v>652</v>
      </c>
      <c r="E45" s="3" t="s">
        <v>121</v>
      </c>
    </row>
    <row r="46" spans="1:5" ht="30" x14ac:dyDescent="0.25">
      <c r="A46" s="5" t="s">
        <v>92</v>
      </c>
      <c r="B46" s="3" t="s">
        <v>653</v>
      </c>
      <c r="C46" s="3" t="s">
        <v>570</v>
      </c>
      <c r="D46" s="3" t="s">
        <v>654</v>
      </c>
      <c r="E46" s="3" t="s">
        <v>121</v>
      </c>
    </row>
    <row r="47" spans="1:5" ht="30" x14ac:dyDescent="0.25">
      <c r="A47" s="5" t="s">
        <v>92</v>
      </c>
      <c r="B47" s="3" t="s">
        <v>655</v>
      </c>
      <c r="C47" s="3" t="s">
        <v>570</v>
      </c>
      <c r="D47" s="3" t="s">
        <v>656</v>
      </c>
      <c r="E47" s="3" t="s">
        <v>121</v>
      </c>
    </row>
    <row r="48" spans="1:5" ht="45" x14ac:dyDescent="0.25">
      <c r="A48" s="5" t="s">
        <v>92</v>
      </c>
      <c r="B48" s="3" t="s">
        <v>657</v>
      </c>
      <c r="C48" s="3" t="s">
        <v>570</v>
      </c>
      <c r="D48" s="3" t="s">
        <v>658</v>
      </c>
      <c r="E48" s="3" t="s">
        <v>121</v>
      </c>
    </row>
    <row r="49" spans="1:5" x14ac:dyDescent="0.25">
      <c r="A49" s="5" t="s">
        <v>92</v>
      </c>
      <c r="B49" s="3" t="s">
        <v>659</v>
      </c>
      <c r="C49" s="3" t="s">
        <v>587</v>
      </c>
      <c r="D49" s="3" t="s">
        <v>660</v>
      </c>
      <c r="E49" s="3" t="s">
        <v>121</v>
      </c>
    </row>
    <row r="50" spans="1:5" ht="45" x14ac:dyDescent="0.25">
      <c r="A50" s="5" t="s">
        <v>92</v>
      </c>
      <c r="B50" s="3" t="s">
        <v>661</v>
      </c>
      <c r="C50" s="3" t="s">
        <v>570</v>
      </c>
      <c r="D50" s="3" t="s">
        <v>662</v>
      </c>
      <c r="E50" s="3" t="s">
        <v>121</v>
      </c>
    </row>
    <row r="51" spans="1:5" ht="45" x14ac:dyDescent="0.25">
      <c r="A51" s="5" t="s">
        <v>92</v>
      </c>
      <c r="B51" s="3" t="s">
        <v>663</v>
      </c>
      <c r="C51" s="3" t="s">
        <v>570</v>
      </c>
      <c r="D51" s="3" t="s">
        <v>664</v>
      </c>
      <c r="E51" s="3" t="s">
        <v>121</v>
      </c>
    </row>
    <row r="52" spans="1:5" ht="30" x14ac:dyDescent="0.25">
      <c r="A52" s="5" t="s">
        <v>92</v>
      </c>
      <c r="B52" s="3" t="s">
        <v>665</v>
      </c>
      <c r="C52" s="3" t="s">
        <v>570</v>
      </c>
      <c r="D52" s="3" t="s">
        <v>666</v>
      </c>
      <c r="E52" s="3" t="s">
        <v>121</v>
      </c>
    </row>
    <row r="53" spans="1:5" ht="30" x14ac:dyDescent="0.25">
      <c r="A53" s="5" t="s">
        <v>92</v>
      </c>
      <c r="B53" s="3" t="s">
        <v>667</v>
      </c>
      <c r="C53" s="3" t="s">
        <v>570</v>
      </c>
      <c r="D53" s="3" t="s">
        <v>668</v>
      </c>
      <c r="E53" s="3" t="s">
        <v>121</v>
      </c>
    </row>
    <row r="54" spans="1:5" ht="30" x14ac:dyDescent="0.25">
      <c r="A54" s="5" t="s">
        <v>92</v>
      </c>
      <c r="B54" s="3" t="s">
        <v>669</v>
      </c>
      <c r="C54" s="3" t="s">
        <v>570</v>
      </c>
      <c r="D54" s="3" t="s">
        <v>670</v>
      </c>
      <c r="E54" s="3" t="s">
        <v>121</v>
      </c>
    </row>
    <row r="55" spans="1:5" ht="30" x14ac:dyDescent="0.25">
      <c r="A55" s="5" t="s">
        <v>92</v>
      </c>
      <c r="B55" s="3" t="s">
        <v>671</v>
      </c>
      <c r="C55" s="3" t="s">
        <v>570</v>
      </c>
      <c r="D55" s="3" t="s">
        <v>672</v>
      </c>
      <c r="E55" s="3" t="s">
        <v>121</v>
      </c>
    </row>
    <row r="56" spans="1:5" ht="30" x14ac:dyDescent="0.25">
      <c r="A56" s="5" t="s">
        <v>92</v>
      </c>
      <c r="B56" s="3" t="s">
        <v>673</v>
      </c>
      <c r="C56" s="3" t="s">
        <v>570</v>
      </c>
      <c r="D56" s="3" t="s">
        <v>674</v>
      </c>
      <c r="E56" s="3" t="s">
        <v>121</v>
      </c>
    </row>
    <row r="57" spans="1:5" ht="45" x14ac:dyDescent="0.25">
      <c r="A57" s="5" t="s">
        <v>92</v>
      </c>
      <c r="B57" s="3" t="s">
        <v>675</v>
      </c>
      <c r="C57" s="3" t="s">
        <v>570</v>
      </c>
      <c r="D57" s="3" t="s">
        <v>676</v>
      </c>
      <c r="E57" s="3" t="s">
        <v>121</v>
      </c>
    </row>
    <row r="58" spans="1:5" x14ac:dyDescent="0.25">
      <c r="A58" s="5" t="s">
        <v>92</v>
      </c>
      <c r="B58" s="3" t="s">
        <v>677</v>
      </c>
      <c r="C58" s="3" t="s">
        <v>587</v>
      </c>
      <c r="D58" s="3" t="s">
        <v>678</v>
      </c>
      <c r="E58" s="3" t="s">
        <v>121</v>
      </c>
    </row>
  </sheetData>
  <mergeCells count="2">
    <mergeCell ref="A1:E1"/>
    <mergeCell ref="A2:E2"/>
  </mergeCells>
  <conditionalFormatting sqref="A5:A58">
    <cfRule type="expression" dxfId="99" priority="1">
      <formula>A5="☑"</formula>
    </cfRule>
  </conditionalFormatting>
  <conditionalFormatting sqref="E5:E58">
    <cfRule type="expression" dxfId="98" priority="2">
      <formula>$E5="P0"</formula>
    </cfRule>
    <cfRule type="expression" dxfId="97" priority="3">
      <formula>$E5="P1"</formula>
    </cfRule>
    <cfRule type="expression" dxfId="96" priority="4">
      <formula>$E5="P2"</formula>
    </cfRule>
  </conditionalFormatting>
  <dataValidations count="1">
    <dataValidation type="list" sqref="A5:A58" xr:uid="{00000000-0002-0000-0F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84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39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45" x14ac:dyDescent="0.25">
      <c r="A5" s="5" t="s">
        <v>92</v>
      </c>
      <c r="B5" s="3" t="s">
        <v>679</v>
      </c>
      <c r="C5" s="3" t="s">
        <v>680</v>
      </c>
      <c r="D5" s="3" t="s">
        <v>681</v>
      </c>
      <c r="E5" s="3" t="s">
        <v>116</v>
      </c>
    </row>
    <row r="6" spans="1:5" ht="30" x14ac:dyDescent="0.25">
      <c r="A6" s="5" t="s">
        <v>92</v>
      </c>
      <c r="B6" s="3" t="s">
        <v>682</v>
      </c>
      <c r="C6" s="3" t="s">
        <v>680</v>
      </c>
      <c r="D6" s="3" t="s">
        <v>683</v>
      </c>
      <c r="E6" s="3" t="s">
        <v>116</v>
      </c>
    </row>
    <row r="7" spans="1:5" ht="30" x14ac:dyDescent="0.25">
      <c r="A7" s="5" t="s">
        <v>92</v>
      </c>
      <c r="B7" s="3" t="s">
        <v>684</v>
      </c>
      <c r="C7" s="3" t="s">
        <v>680</v>
      </c>
      <c r="D7" s="3" t="s">
        <v>685</v>
      </c>
      <c r="E7" s="3" t="s">
        <v>116</v>
      </c>
    </row>
    <row r="8" spans="1:5" ht="30" x14ac:dyDescent="0.25">
      <c r="A8" s="5" t="s">
        <v>92</v>
      </c>
      <c r="B8" s="3" t="s">
        <v>686</v>
      </c>
      <c r="C8" s="3" t="s">
        <v>680</v>
      </c>
      <c r="D8" s="3" t="s">
        <v>687</v>
      </c>
      <c r="E8" s="3" t="s">
        <v>116</v>
      </c>
    </row>
    <row r="9" spans="1:5" ht="30" x14ac:dyDescent="0.25">
      <c r="A9" s="5" t="s">
        <v>92</v>
      </c>
      <c r="B9" s="3" t="s">
        <v>688</v>
      </c>
      <c r="C9" s="3" t="s">
        <v>689</v>
      </c>
      <c r="D9" s="3" t="s">
        <v>690</v>
      </c>
      <c r="E9" s="3" t="s">
        <v>121</v>
      </c>
    </row>
    <row r="10" spans="1:5" ht="30" x14ac:dyDescent="0.25">
      <c r="A10" s="5" t="s">
        <v>92</v>
      </c>
      <c r="B10" s="3" t="s">
        <v>691</v>
      </c>
      <c r="C10" s="3" t="s">
        <v>680</v>
      </c>
      <c r="D10" s="3" t="s">
        <v>692</v>
      </c>
      <c r="E10" s="3" t="s">
        <v>116</v>
      </c>
    </row>
    <row r="11" spans="1:5" ht="30" x14ac:dyDescent="0.25">
      <c r="A11" s="5" t="s">
        <v>92</v>
      </c>
      <c r="B11" s="3" t="s">
        <v>693</v>
      </c>
      <c r="C11" s="3" t="s">
        <v>680</v>
      </c>
      <c r="D11" s="3" t="s">
        <v>694</v>
      </c>
      <c r="E11" s="3" t="s">
        <v>116</v>
      </c>
    </row>
    <row r="12" spans="1:5" ht="30" x14ac:dyDescent="0.25">
      <c r="A12" s="5" t="s">
        <v>92</v>
      </c>
      <c r="B12" s="3" t="s">
        <v>695</v>
      </c>
      <c r="C12" s="3" t="s">
        <v>680</v>
      </c>
      <c r="D12" s="3" t="s">
        <v>696</v>
      </c>
      <c r="E12" s="3" t="s">
        <v>116</v>
      </c>
    </row>
    <row r="13" spans="1:5" ht="30" x14ac:dyDescent="0.25">
      <c r="A13" s="5" t="s">
        <v>92</v>
      </c>
      <c r="B13" s="3" t="s">
        <v>697</v>
      </c>
      <c r="C13" s="3" t="s">
        <v>680</v>
      </c>
      <c r="D13" s="3" t="s">
        <v>698</v>
      </c>
      <c r="E13" s="3" t="s">
        <v>116</v>
      </c>
    </row>
    <row r="14" spans="1:5" ht="30" x14ac:dyDescent="0.25">
      <c r="A14" s="5" t="s">
        <v>92</v>
      </c>
      <c r="B14" s="3" t="s">
        <v>699</v>
      </c>
      <c r="C14" s="3" t="s">
        <v>689</v>
      </c>
      <c r="D14" s="3" t="s">
        <v>700</v>
      </c>
      <c r="E14" s="3" t="s">
        <v>121</v>
      </c>
    </row>
    <row r="15" spans="1:5" ht="30" x14ac:dyDescent="0.25">
      <c r="A15" s="5" t="s">
        <v>92</v>
      </c>
      <c r="B15" s="3" t="s">
        <v>701</v>
      </c>
      <c r="C15" s="3" t="s">
        <v>680</v>
      </c>
      <c r="D15" s="3" t="s">
        <v>702</v>
      </c>
      <c r="E15" s="3" t="s">
        <v>116</v>
      </c>
    </row>
    <row r="16" spans="1:5" ht="30" x14ac:dyDescent="0.25">
      <c r="A16" s="5" t="s">
        <v>92</v>
      </c>
      <c r="B16" s="3" t="s">
        <v>703</v>
      </c>
      <c r="C16" s="3" t="s">
        <v>680</v>
      </c>
      <c r="D16" s="3" t="s">
        <v>704</v>
      </c>
      <c r="E16" s="3" t="s">
        <v>116</v>
      </c>
    </row>
    <row r="17" spans="1:5" ht="30" x14ac:dyDescent="0.25">
      <c r="A17" s="5" t="s">
        <v>92</v>
      </c>
      <c r="B17" s="3" t="s">
        <v>705</v>
      </c>
      <c r="C17" s="3" t="s">
        <v>680</v>
      </c>
      <c r="D17" s="3" t="s">
        <v>706</v>
      </c>
      <c r="E17" s="3" t="s">
        <v>116</v>
      </c>
    </row>
    <row r="18" spans="1:5" ht="30" x14ac:dyDescent="0.25">
      <c r="A18" s="5" t="s">
        <v>92</v>
      </c>
      <c r="B18" s="3" t="s">
        <v>707</v>
      </c>
      <c r="C18" s="3" t="s">
        <v>680</v>
      </c>
      <c r="D18" s="3" t="s">
        <v>708</v>
      </c>
      <c r="E18" s="3" t="s">
        <v>116</v>
      </c>
    </row>
    <row r="19" spans="1:5" ht="30" x14ac:dyDescent="0.25">
      <c r="A19" s="5" t="s">
        <v>92</v>
      </c>
      <c r="B19" s="3" t="s">
        <v>709</v>
      </c>
      <c r="C19" s="3" t="s">
        <v>689</v>
      </c>
      <c r="D19" s="3" t="s">
        <v>710</v>
      </c>
      <c r="E19" s="3" t="s">
        <v>121</v>
      </c>
    </row>
    <row r="20" spans="1:5" ht="30" x14ac:dyDescent="0.25">
      <c r="A20" s="5" t="s">
        <v>92</v>
      </c>
      <c r="B20" s="3" t="s">
        <v>711</v>
      </c>
      <c r="C20" s="3" t="s">
        <v>680</v>
      </c>
      <c r="D20" s="3" t="s">
        <v>712</v>
      </c>
      <c r="E20" s="3" t="s">
        <v>116</v>
      </c>
    </row>
    <row r="21" spans="1:5" ht="30" x14ac:dyDescent="0.25">
      <c r="A21" s="5" t="s">
        <v>92</v>
      </c>
      <c r="B21" s="3" t="s">
        <v>713</v>
      </c>
      <c r="C21" s="3" t="s">
        <v>680</v>
      </c>
      <c r="D21" s="3" t="s">
        <v>714</v>
      </c>
      <c r="E21" s="3" t="s">
        <v>116</v>
      </c>
    </row>
    <row r="22" spans="1:5" ht="30" x14ac:dyDescent="0.25">
      <c r="A22" s="5" t="s">
        <v>92</v>
      </c>
      <c r="B22" s="3" t="s">
        <v>715</v>
      </c>
      <c r="C22" s="3" t="s">
        <v>680</v>
      </c>
      <c r="D22" s="3" t="s">
        <v>716</v>
      </c>
      <c r="E22" s="3" t="s">
        <v>116</v>
      </c>
    </row>
    <row r="23" spans="1:5" ht="30" x14ac:dyDescent="0.25">
      <c r="A23" s="5" t="s">
        <v>92</v>
      </c>
      <c r="B23" s="3" t="s">
        <v>717</v>
      </c>
      <c r="C23" s="3" t="s">
        <v>680</v>
      </c>
      <c r="D23" s="3" t="s">
        <v>718</v>
      </c>
      <c r="E23" s="3" t="s">
        <v>116</v>
      </c>
    </row>
    <row r="24" spans="1:5" ht="30" x14ac:dyDescent="0.25">
      <c r="A24" s="5" t="s">
        <v>92</v>
      </c>
      <c r="B24" s="3" t="s">
        <v>719</v>
      </c>
      <c r="C24" s="3" t="s">
        <v>689</v>
      </c>
      <c r="D24" s="3" t="s">
        <v>720</v>
      </c>
      <c r="E24" s="3" t="s">
        <v>121</v>
      </c>
    </row>
    <row r="25" spans="1:5" ht="30" x14ac:dyDescent="0.25">
      <c r="A25" s="5" t="s">
        <v>92</v>
      </c>
      <c r="B25" s="3" t="s">
        <v>721</v>
      </c>
      <c r="C25" s="3" t="s">
        <v>680</v>
      </c>
      <c r="D25" s="3" t="s">
        <v>722</v>
      </c>
      <c r="E25" s="3" t="s">
        <v>116</v>
      </c>
    </row>
    <row r="26" spans="1:5" ht="30" x14ac:dyDescent="0.25">
      <c r="A26" s="5" t="s">
        <v>92</v>
      </c>
      <c r="B26" s="3" t="s">
        <v>723</v>
      </c>
      <c r="C26" s="3" t="s">
        <v>680</v>
      </c>
      <c r="D26" s="3" t="s">
        <v>724</v>
      </c>
      <c r="E26" s="3" t="s">
        <v>116</v>
      </c>
    </row>
    <row r="27" spans="1:5" ht="30" x14ac:dyDescent="0.25">
      <c r="A27" s="5" t="s">
        <v>92</v>
      </c>
      <c r="B27" s="3" t="s">
        <v>725</v>
      </c>
      <c r="C27" s="3" t="s">
        <v>680</v>
      </c>
      <c r="D27" s="3" t="s">
        <v>726</v>
      </c>
      <c r="E27" s="3" t="s">
        <v>116</v>
      </c>
    </row>
    <row r="28" spans="1:5" ht="30" x14ac:dyDescent="0.25">
      <c r="A28" s="5" t="s">
        <v>92</v>
      </c>
      <c r="B28" s="3" t="s">
        <v>727</v>
      </c>
      <c r="C28" s="3" t="s">
        <v>680</v>
      </c>
      <c r="D28" s="3" t="s">
        <v>728</v>
      </c>
      <c r="E28" s="3" t="s">
        <v>116</v>
      </c>
    </row>
    <row r="29" spans="1:5" ht="30" x14ac:dyDescent="0.25">
      <c r="A29" s="5" t="s">
        <v>92</v>
      </c>
      <c r="B29" s="3" t="s">
        <v>729</v>
      </c>
      <c r="C29" s="3" t="s">
        <v>689</v>
      </c>
      <c r="D29" s="3" t="s">
        <v>730</v>
      </c>
      <c r="E29" s="3" t="s">
        <v>121</v>
      </c>
    </row>
    <row r="30" spans="1:5" ht="30" x14ac:dyDescent="0.25">
      <c r="A30" s="5" t="s">
        <v>92</v>
      </c>
      <c r="B30" s="3" t="s">
        <v>731</v>
      </c>
      <c r="C30" s="3" t="s">
        <v>680</v>
      </c>
      <c r="D30" s="3" t="s">
        <v>732</v>
      </c>
      <c r="E30" s="3" t="s">
        <v>116</v>
      </c>
    </row>
    <row r="31" spans="1:5" ht="30" x14ac:dyDescent="0.25">
      <c r="A31" s="5" t="s">
        <v>92</v>
      </c>
      <c r="B31" s="3" t="s">
        <v>733</v>
      </c>
      <c r="C31" s="3" t="s">
        <v>680</v>
      </c>
      <c r="D31" s="3" t="s">
        <v>734</v>
      </c>
      <c r="E31" s="3" t="s">
        <v>116</v>
      </c>
    </row>
    <row r="32" spans="1:5" ht="30" x14ac:dyDescent="0.25">
      <c r="A32" s="5" t="s">
        <v>92</v>
      </c>
      <c r="B32" s="3" t="s">
        <v>735</v>
      </c>
      <c r="C32" s="3" t="s">
        <v>680</v>
      </c>
      <c r="D32" s="3" t="s">
        <v>736</v>
      </c>
      <c r="E32" s="3" t="s">
        <v>116</v>
      </c>
    </row>
    <row r="33" spans="1:5" ht="30" x14ac:dyDescent="0.25">
      <c r="A33" s="5" t="s">
        <v>92</v>
      </c>
      <c r="B33" s="3" t="s">
        <v>737</v>
      </c>
      <c r="C33" s="3" t="s">
        <v>680</v>
      </c>
      <c r="D33" s="3" t="s">
        <v>738</v>
      </c>
      <c r="E33" s="3" t="s">
        <v>116</v>
      </c>
    </row>
    <row r="34" spans="1:5" ht="30" x14ac:dyDescent="0.25">
      <c r="A34" s="5" t="s">
        <v>92</v>
      </c>
      <c r="B34" s="3" t="s">
        <v>739</v>
      </c>
      <c r="C34" s="3" t="s">
        <v>689</v>
      </c>
      <c r="D34" s="3" t="s">
        <v>740</v>
      </c>
      <c r="E34" s="3" t="s">
        <v>121</v>
      </c>
    </row>
    <row r="35" spans="1:5" ht="30" x14ac:dyDescent="0.25">
      <c r="A35" s="5" t="s">
        <v>92</v>
      </c>
      <c r="B35" s="3" t="s">
        <v>741</v>
      </c>
      <c r="C35" s="3" t="s">
        <v>680</v>
      </c>
      <c r="D35" s="3" t="s">
        <v>742</v>
      </c>
      <c r="E35" s="3" t="s">
        <v>121</v>
      </c>
    </row>
    <row r="36" spans="1:5" ht="30" x14ac:dyDescent="0.25">
      <c r="A36" s="5" t="s">
        <v>92</v>
      </c>
      <c r="B36" s="3" t="s">
        <v>743</v>
      </c>
      <c r="C36" s="3" t="s">
        <v>680</v>
      </c>
      <c r="D36" s="3" t="s">
        <v>744</v>
      </c>
      <c r="E36" s="3" t="s">
        <v>121</v>
      </c>
    </row>
    <row r="37" spans="1:5" ht="30" x14ac:dyDescent="0.25">
      <c r="A37" s="5" t="s">
        <v>92</v>
      </c>
      <c r="B37" s="3" t="s">
        <v>745</v>
      </c>
      <c r="C37" s="3" t="s">
        <v>680</v>
      </c>
      <c r="D37" s="3" t="s">
        <v>746</v>
      </c>
      <c r="E37" s="3" t="s">
        <v>121</v>
      </c>
    </row>
    <row r="38" spans="1:5" ht="30" x14ac:dyDescent="0.25">
      <c r="A38" s="5" t="s">
        <v>92</v>
      </c>
      <c r="B38" s="3" t="s">
        <v>747</v>
      </c>
      <c r="C38" s="3" t="s">
        <v>680</v>
      </c>
      <c r="D38" s="3" t="s">
        <v>748</v>
      </c>
      <c r="E38" s="3" t="s">
        <v>121</v>
      </c>
    </row>
    <row r="39" spans="1:5" ht="30" x14ac:dyDescent="0.25">
      <c r="A39" s="5" t="s">
        <v>92</v>
      </c>
      <c r="B39" s="3" t="s">
        <v>749</v>
      </c>
      <c r="C39" s="3" t="s">
        <v>689</v>
      </c>
      <c r="D39" s="3" t="s">
        <v>750</v>
      </c>
      <c r="E39" s="3" t="s">
        <v>121</v>
      </c>
    </row>
    <row r="40" spans="1:5" ht="30" x14ac:dyDescent="0.25">
      <c r="A40" s="5" t="s">
        <v>92</v>
      </c>
      <c r="B40" s="3" t="s">
        <v>751</v>
      </c>
      <c r="C40" s="3" t="s">
        <v>680</v>
      </c>
      <c r="D40" s="3" t="s">
        <v>752</v>
      </c>
      <c r="E40" s="3" t="s">
        <v>121</v>
      </c>
    </row>
    <row r="41" spans="1:5" ht="30" x14ac:dyDescent="0.25">
      <c r="A41" s="5" t="s">
        <v>92</v>
      </c>
      <c r="B41" s="3" t="s">
        <v>753</v>
      </c>
      <c r="C41" s="3" t="s">
        <v>680</v>
      </c>
      <c r="D41" s="3" t="s">
        <v>754</v>
      </c>
      <c r="E41" s="3" t="s">
        <v>121</v>
      </c>
    </row>
    <row r="42" spans="1:5" ht="30" x14ac:dyDescent="0.25">
      <c r="A42" s="5" t="s">
        <v>92</v>
      </c>
      <c r="B42" s="3" t="s">
        <v>755</v>
      </c>
      <c r="C42" s="3" t="s">
        <v>680</v>
      </c>
      <c r="D42" s="3" t="s">
        <v>756</v>
      </c>
      <c r="E42" s="3" t="s">
        <v>121</v>
      </c>
    </row>
    <row r="43" spans="1:5" ht="30" x14ac:dyDescent="0.25">
      <c r="A43" s="5" t="s">
        <v>92</v>
      </c>
      <c r="B43" s="3" t="s">
        <v>757</v>
      </c>
      <c r="C43" s="3" t="s">
        <v>680</v>
      </c>
      <c r="D43" s="3" t="s">
        <v>758</v>
      </c>
      <c r="E43" s="3" t="s">
        <v>121</v>
      </c>
    </row>
    <row r="44" spans="1:5" ht="30" x14ac:dyDescent="0.25">
      <c r="A44" s="5" t="s">
        <v>92</v>
      </c>
      <c r="B44" s="3" t="s">
        <v>759</v>
      </c>
      <c r="C44" s="3" t="s">
        <v>689</v>
      </c>
      <c r="D44" s="3" t="s">
        <v>760</v>
      </c>
      <c r="E44" s="3" t="s">
        <v>121</v>
      </c>
    </row>
    <row r="45" spans="1:5" ht="30" x14ac:dyDescent="0.25">
      <c r="A45" s="5" t="s">
        <v>92</v>
      </c>
      <c r="B45" s="3" t="s">
        <v>761</v>
      </c>
      <c r="C45" s="3" t="s">
        <v>680</v>
      </c>
      <c r="D45" s="3" t="s">
        <v>762</v>
      </c>
      <c r="E45" s="3" t="s">
        <v>121</v>
      </c>
    </row>
    <row r="46" spans="1:5" ht="30" x14ac:dyDescent="0.25">
      <c r="A46" s="5" t="s">
        <v>92</v>
      </c>
      <c r="B46" s="3" t="s">
        <v>763</v>
      </c>
      <c r="C46" s="3" t="s">
        <v>680</v>
      </c>
      <c r="D46" s="3" t="s">
        <v>764</v>
      </c>
      <c r="E46" s="3" t="s">
        <v>121</v>
      </c>
    </row>
    <row r="47" spans="1:5" ht="30" x14ac:dyDescent="0.25">
      <c r="A47" s="5" t="s">
        <v>92</v>
      </c>
      <c r="B47" s="3" t="s">
        <v>765</v>
      </c>
      <c r="C47" s="3" t="s">
        <v>680</v>
      </c>
      <c r="D47" s="3" t="s">
        <v>766</v>
      </c>
      <c r="E47" s="3" t="s">
        <v>121</v>
      </c>
    </row>
    <row r="48" spans="1:5" ht="30" x14ac:dyDescent="0.25">
      <c r="A48" s="5" t="s">
        <v>92</v>
      </c>
      <c r="B48" s="3" t="s">
        <v>767</v>
      </c>
      <c r="C48" s="3" t="s">
        <v>680</v>
      </c>
      <c r="D48" s="3" t="s">
        <v>768</v>
      </c>
      <c r="E48" s="3" t="s">
        <v>121</v>
      </c>
    </row>
    <row r="49" spans="1:5" ht="30" x14ac:dyDescent="0.25">
      <c r="A49" s="5" t="s">
        <v>92</v>
      </c>
      <c r="B49" s="3" t="s">
        <v>769</v>
      </c>
      <c r="C49" s="3" t="s">
        <v>689</v>
      </c>
      <c r="D49" s="3" t="s">
        <v>770</v>
      </c>
      <c r="E49" s="3" t="s">
        <v>121</v>
      </c>
    </row>
    <row r="50" spans="1:5" ht="30" x14ac:dyDescent="0.25">
      <c r="A50" s="5" t="s">
        <v>92</v>
      </c>
      <c r="B50" s="3" t="s">
        <v>771</v>
      </c>
      <c r="C50" s="3" t="s">
        <v>680</v>
      </c>
      <c r="D50" s="3" t="s">
        <v>772</v>
      </c>
      <c r="E50" s="3" t="s">
        <v>121</v>
      </c>
    </row>
    <row r="51" spans="1:5" ht="30" x14ac:dyDescent="0.25">
      <c r="A51" s="5" t="s">
        <v>92</v>
      </c>
      <c r="B51" s="3" t="s">
        <v>773</v>
      </c>
      <c r="C51" s="3" t="s">
        <v>680</v>
      </c>
      <c r="D51" s="3" t="s">
        <v>774</v>
      </c>
      <c r="E51" s="3" t="s">
        <v>121</v>
      </c>
    </row>
    <row r="52" spans="1:5" ht="30" x14ac:dyDescent="0.25">
      <c r="A52" s="5" t="s">
        <v>92</v>
      </c>
      <c r="B52" s="3" t="s">
        <v>775</v>
      </c>
      <c r="C52" s="3" t="s">
        <v>680</v>
      </c>
      <c r="D52" s="3" t="s">
        <v>776</v>
      </c>
      <c r="E52" s="3" t="s">
        <v>121</v>
      </c>
    </row>
    <row r="53" spans="1:5" ht="30" x14ac:dyDescent="0.25">
      <c r="A53" s="5" t="s">
        <v>92</v>
      </c>
      <c r="B53" s="3" t="s">
        <v>777</v>
      </c>
      <c r="C53" s="3" t="s">
        <v>680</v>
      </c>
      <c r="D53" s="3" t="s">
        <v>778</v>
      </c>
      <c r="E53" s="3" t="s">
        <v>121</v>
      </c>
    </row>
    <row r="54" spans="1:5" ht="30" x14ac:dyDescent="0.25">
      <c r="A54" s="5" t="s">
        <v>92</v>
      </c>
      <c r="B54" s="3" t="s">
        <v>779</v>
      </c>
      <c r="C54" s="3" t="s">
        <v>689</v>
      </c>
      <c r="D54" s="3" t="s">
        <v>780</v>
      </c>
      <c r="E54" s="3" t="s">
        <v>121</v>
      </c>
    </row>
    <row r="55" spans="1:5" ht="30" x14ac:dyDescent="0.25">
      <c r="A55" s="5" t="s">
        <v>92</v>
      </c>
      <c r="B55" s="3" t="s">
        <v>781</v>
      </c>
      <c r="C55" s="3" t="s">
        <v>680</v>
      </c>
      <c r="D55" s="3" t="s">
        <v>782</v>
      </c>
      <c r="E55" s="3" t="s">
        <v>121</v>
      </c>
    </row>
    <row r="56" spans="1:5" ht="30" x14ac:dyDescent="0.25">
      <c r="A56" s="5" t="s">
        <v>92</v>
      </c>
      <c r="B56" s="3" t="s">
        <v>783</v>
      </c>
      <c r="C56" s="3" t="s">
        <v>680</v>
      </c>
      <c r="D56" s="3" t="s">
        <v>784</v>
      </c>
      <c r="E56" s="3" t="s">
        <v>121</v>
      </c>
    </row>
    <row r="57" spans="1:5" ht="30" x14ac:dyDescent="0.25">
      <c r="A57" s="5" t="s">
        <v>92</v>
      </c>
      <c r="B57" s="3" t="s">
        <v>785</v>
      </c>
      <c r="C57" s="3" t="s">
        <v>680</v>
      </c>
      <c r="D57" s="3" t="s">
        <v>786</v>
      </c>
      <c r="E57" s="3" t="s">
        <v>121</v>
      </c>
    </row>
    <row r="58" spans="1:5" ht="30" x14ac:dyDescent="0.25">
      <c r="A58" s="5" t="s">
        <v>92</v>
      </c>
      <c r="B58" s="3" t="s">
        <v>787</v>
      </c>
      <c r="C58" s="3" t="s">
        <v>680</v>
      </c>
      <c r="D58" s="3" t="s">
        <v>788</v>
      </c>
      <c r="E58" s="3" t="s">
        <v>121</v>
      </c>
    </row>
    <row r="59" spans="1:5" ht="30" x14ac:dyDescent="0.25">
      <c r="A59" s="5" t="s">
        <v>92</v>
      </c>
      <c r="B59" s="3" t="s">
        <v>789</v>
      </c>
      <c r="C59" s="3" t="s">
        <v>689</v>
      </c>
      <c r="D59" s="3" t="s">
        <v>790</v>
      </c>
      <c r="E59" s="3" t="s">
        <v>121</v>
      </c>
    </row>
    <row r="60" spans="1:5" ht="30" x14ac:dyDescent="0.25">
      <c r="A60" s="5" t="s">
        <v>92</v>
      </c>
      <c r="B60" s="3" t="s">
        <v>791</v>
      </c>
      <c r="C60" s="3" t="s">
        <v>680</v>
      </c>
      <c r="D60" s="3" t="s">
        <v>792</v>
      </c>
      <c r="E60" s="3" t="s">
        <v>121</v>
      </c>
    </row>
    <row r="61" spans="1:5" ht="30" x14ac:dyDescent="0.25">
      <c r="A61" s="5" t="s">
        <v>92</v>
      </c>
      <c r="B61" s="3" t="s">
        <v>793</v>
      </c>
      <c r="C61" s="3" t="s">
        <v>680</v>
      </c>
      <c r="D61" s="3" t="s">
        <v>794</v>
      </c>
      <c r="E61" s="3" t="s">
        <v>121</v>
      </c>
    </row>
    <row r="62" spans="1:5" ht="30" x14ac:dyDescent="0.25">
      <c r="A62" s="5" t="s">
        <v>92</v>
      </c>
      <c r="B62" s="3" t="s">
        <v>795</v>
      </c>
      <c r="C62" s="3" t="s">
        <v>680</v>
      </c>
      <c r="D62" s="3" t="s">
        <v>796</v>
      </c>
      <c r="E62" s="3" t="s">
        <v>121</v>
      </c>
    </row>
    <row r="63" spans="1:5" ht="30" x14ac:dyDescent="0.25">
      <c r="A63" s="5" t="s">
        <v>92</v>
      </c>
      <c r="B63" s="3" t="s">
        <v>797</v>
      </c>
      <c r="C63" s="3" t="s">
        <v>680</v>
      </c>
      <c r="D63" s="3" t="s">
        <v>798</v>
      </c>
      <c r="E63" s="3" t="s">
        <v>121</v>
      </c>
    </row>
    <row r="64" spans="1:5" ht="30" x14ac:dyDescent="0.25">
      <c r="A64" s="5" t="s">
        <v>92</v>
      </c>
      <c r="B64" s="3" t="s">
        <v>799</v>
      </c>
      <c r="C64" s="3" t="s">
        <v>689</v>
      </c>
      <c r="D64" s="3" t="s">
        <v>800</v>
      </c>
      <c r="E64" s="3" t="s">
        <v>121</v>
      </c>
    </row>
    <row r="65" spans="1:5" ht="30" x14ac:dyDescent="0.25">
      <c r="A65" s="5" t="s">
        <v>92</v>
      </c>
      <c r="B65" s="3" t="s">
        <v>801</v>
      </c>
      <c r="C65" s="3" t="s">
        <v>680</v>
      </c>
      <c r="D65" s="3" t="s">
        <v>802</v>
      </c>
      <c r="E65" s="3" t="s">
        <v>121</v>
      </c>
    </row>
    <row r="66" spans="1:5" ht="30" x14ac:dyDescent="0.25">
      <c r="A66" s="5" t="s">
        <v>92</v>
      </c>
      <c r="B66" s="3" t="s">
        <v>803</v>
      </c>
      <c r="C66" s="3" t="s">
        <v>680</v>
      </c>
      <c r="D66" s="3" t="s">
        <v>804</v>
      </c>
      <c r="E66" s="3" t="s">
        <v>121</v>
      </c>
    </row>
    <row r="67" spans="1:5" ht="30" x14ac:dyDescent="0.25">
      <c r="A67" s="5" t="s">
        <v>92</v>
      </c>
      <c r="B67" s="3" t="s">
        <v>805</v>
      </c>
      <c r="C67" s="3" t="s">
        <v>680</v>
      </c>
      <c r="D67" s="3" t="s">
        <v>806</v>
      </c>
      <c r="E67" s="3" t="s">
        <v>121</v>
      </c>
    </row>
    <row r="68" spans="1:5" ht="30" x14ac:dyDescent="0.25">
      <c r="A68" s="5" t="s">
        <v>92</v>
      </c>
      <c r="B68" s="3" t="s">
        <v>807</v>
      </c>
      <c r="C68" s="3" t="s">
        <v>680</v>
      </c>
      <c r="D68" s="3" t="s">
        <v>808</v>
      </c>
      <c r="E68" s="3" t="s">
        <v>121</v>
      </c>
    </row>
    <row r="69" spans="1:5" ht="30" x14ac:dyDescent="0.25">
      <c r="A69" s="5" t="s">
        <v>92</v>
      </c>
      <c r="B69" s="3" t="s">
        <v>809</v>
      </c>
      <c r="C69" s="3" t="s">
        <v>689</v>
      </c>
      <c r="D69" s="3" t="s">
        <v>810</v>
      </c>
      <c r="E69" s="3" t="s">
        <v>121</v>
      </c>
    </row>
    <row r="70" spans="1:5" ht="30" x14ac:dyDescent="0.25">
      <c r="A70" s="5" t="s">
        <v>92</v>
      </c>
      <c r="B70" s="3" t="s">
        <v>811</v>
      </c>
      <c r="C70" s="3" t="s">
        <v>680</v>
      </c>
      <c r="D70" s="3" t="s">
        <v>812</v>
      </c>
      <c r="E70" s="3" t="s">
        <v>121</v>
      </c>
    </row>
    <row r="71" spans="1:5" ht="30" x14ac:dyDescent="0.25">
      <c r="A71" s="5" t="s">
        <v>92</v>
      </c>
      <c r="B71" s="3" t="s">
        <v>813</v>
      </c>
      <c r="C71" s="3" t="s">
        <v>680</v>
      </c>
      <c r="D71" s="3" t="s">
        <v>814</v>
      </c>
      <c r="E71" s="3" t="s">
        <v>121</v>
      </c>
    </row>
    <row r="72" spans="1:5" ht="30" x14ac:dyDescent="0.25">
      <c r="A72" s="5" t="s">
        <v>92</v>
      </c>
      <c r="B72" s="3" t="s">
        <v>815</v>
      </c>
      <c r="C72" s="3" t="s">
        <v>680</v>
      </c>
      <c r="D72" s="3" t="s">
        <v>816</v>
      </c>
      <c r="E72" s="3" t="s">
        <v>121</v>
      </c>
    </row>
    <row r="73" spans="1:5" ht="30" x14ac:dyDescent="0.25">
      <c r="A73" s="5" t="s">
        <v>92</v>
      </c>
      <c r="B73" s="3" t="s">
        <v>817</v>
      </c>
      <c r="C73" s="3" t="s">
        <v>680</v>
      </c>
      <c r="D73" s="3" t="s">
        <v>818</v>
      </c>
      <c r="E73" s="3" t="s">
        <v>121</v>
      </c>
    </row>
    <row r="74" spans="1:5" ht="30" x14ac:dyDescent="0.25">
      <c r="A74" s="5" t="s">
        <v>92</v>
      </c>
      <c r="B74" s="3" t="s">
        <v>819</v>
      </c>
      <c r="C74" s="3" t="s">
        <v>689</v>
      </c>
      <c r="D74" s="3" t="s">
        <v>820</v>
      </c>
      <c r="E74" s="3" t="s">
        <v>121</v>
      </c>
    </row>
    <row r="75" spans="1:5" ht="30" x14ac:dyDescent="0.25">
      <c r="A75" s="5" t="s">
        <v>92</v>
      </c>
      <c r="B75" s="3" t="s">
        <v>821</v>
      </c>
      <c r="C75" s="3" t="s">
        <v>680</v>
      </c>
      <c r="D75" s="3" t="s">
        <v>822</v>
      </c>
      <c r="E75" s="3" t="s">
        <v>121</v>
      </c>
    </row>
    <row r="76" spans="1:5" ht="30" x14ac:dyDescent="0.25">
      <c r="A76" s="5" t="s">
        <v>92</v>
      </c>
      <c r="B76" s="3" t="s">
        <v>823</v>
      </c>
      <c r="C76" s="3" t="s">
        <v>680</v>
      </c>
      <c r="D76" s="3" t="s">
        <v>824</v>
      </c>
      <c r="E76" s="3" t="s">
        <v>121</v>
      </c>
    </row>
    <row r="77" spans="1:5" ht="30" x14ac:dyDescent="0.25">
      <c r="A77" s="5" t="s">
        <v>92</v>
      </c>
      <c r="B77" s="3" t="s">
        <v>825</v>
      </c>
      <c r="C77" s="3" t="s">
        <v>680</v>
      </c>
      <c r="D77" s="3" t="s">
        <v>826</v>
      </c>
      <c r="E77" s="3" t="s">
        <v>121</v>
      </c>
    </row>
    <row r="78" spans="1:5" ht="30" x14ac:dyDescent="0.25">
      <c r="A78" s="5" t="s">
        <v>92</v>
      </c>
      <c r="B78" s="3" t="s">
        <v>827</v>
      </c>
      <c r="C78" s="3" t="s">
        <v>680</v>
      </c>
      <c r="D78" s="3" t="s">
        <v>828</v>
      </c>
      <c r="E78" s="3" t="s">
        <v>121</v>
      </c>
    </row>
    <row r="79" spans="1:5" ht="30" x14ac:dyDescent="0.25">
      <c r="A79" s="5" t="s">
        <v>92</v>
      </c>
      <c r="B79" s="3" t="s">
        <v>829</v>
      </c>
      <c r="C79" s="3" t="s">
        <v>689</v>
      </c>
      <c r="D79" s="3" t="s">
        <v>830</v>
      </c>
      <c r="E79" s="3" t="s">
        <v>121</v>
      </c>
    </row>
    <row r="80" spans="1:5" ht="30" x14ac:dyDescent="0.25">
      <c r="A80" s="5" t="s">
        <v>92</v>
      </c>
      <c r="B80" s="3" t="s">
        <v>831</v>
      </c>
      <c r="C80" s="3" t="s">
        <v>680</v>
      </c>
      <c r="D80" s="3" t="s">
        <v>832</v>
      </c>
      <c r="E80" s="3" t="s">
        <v>121</v>
      </c>
    </row>
    <row r="81" spans="1:5" ht="30" x14ac:dyDescent="0.25">
      <c r="A81" s="5" t="s">
        <v>92</v>
      </c>
      <c r="B81" s="3" t="s">
        <v>833</v>
      </c>
      <c r="C81" s="3" t="s">
        <v>680</v>
      </c>
      <c r="D81" s="3" t="s">
        <v>834</v>
      </c>
      <c r="E81" s="3" t="s">
        <v>121</v>
      </c>
    </row>
    <row r="82" spans="1:5" ht="30" x14ac:dyDescent="0.25">
      <c r="A82" s="5" t="s">
        <v>92</v>
      </c>
      <c r="B82" s="3" t="s">
        <v>835</v>
      </c>
      <c r="C82" s="3" t="s">
        <v>680</v>
      </c>
      <c r="D82" s="3" t="s">
        <v>836</v>
      </c>
      <c r="E82" s="3" t="s">
        <v>121</v>
      </c>
    </row>
    <row r="83" spans="1:5" ht="30" x14ac:dyDescent="0.25">
      <c r="A83" s="5" t="s">
        <v>92</v>
      </c>
      <c r="B83" s="3" t="s">
        <v>837</v>
      </c>
      <c r="C83" s="3" t="s">
        <v>680</v>
      </c>
      <c r="D83" s="3" t="s">
        <v>838</v>
      </c>
      <c r="E83" s="3" t="s">
        <v>121</v>
      </c>
    </row>
    <row r="84" spans="1:5" ht="30" x14ac:dyDescent="0.25">
      <c r="A84" s="5" t="s">
        <v>92</v>
      </c>
      <c r="B84" s="3" t="s">
        <v>839</v>
      </c>
      <c r="C84" s="3" t="s">
        <v>689</v>
      </c>
      <c r="D84" s="3" t="s">
        <v>840</v>
      </c>
      <c r="E84" s="3" t="s">
        <v>121</v>
      </c>
    </row>
    <row r="85" spans="1:5" ht="30" x14ac:dyDescent="0.25">
      <c r="A85" s="5" t="s">
        <v>92</v>
      </c>
      <c r="B85" s="3" t="s">
        <v>841</v>
      </c>
      <c r="C85" s="3" t="s">
        <v>680</v>
      </c>
      <c r="D85" s="3" t="s">
        <v>842</v>
      </c>
      <c r="E85" s="3" t="s">
        <v>121</v>
      </c>
    </row>
    <row r="86" spans="1:5" ht="30" x14ac:dyDescent="0.25">
      <c r="A86" s="5" t="s">
        <v>92</v>
      </c>
      <c r="B86" s="3" t="s">
        <v>843</v>
      </c>
      <c r="C86" s="3" t="s">
        <v>680</v>
      </c>
      <c r="D86" s="3" t="s">
        <v>844</v>
      </c>
      <c r="E86" s="3" t="s">
        <v>121</v>
      </c>
    </row>
    <row r="87" spans="1:5" ht="30" x14ac:dyDescent="0.25">
      <c r="A87" s="5" t="s">
        <v>92</v>
      </c>
      <c r="B87" s="3" t="s">
        <v>845</v>
      </c>
      <c r="C87" s="3" t="s">
        <v>680</v>
      </c>
      <c r="D87" s="3" t="s">
        <v>846</v>
      </c>
      <c r="E87" s="3" t="s">
        <v>121</v>
      </c>
    </row>
    <row r="88" spans="1:5" ht="30" x14ac:dyDescent="0.25">
      <c r="A88" s="5" t="s">
        <v>92</v>
      </c>
      <c r="B88" s="3" t="s">
        <v>847</v>
      </c>
      <c r="C88" s="3" t="s">
        <v>680</v>
      </c>
      <c r="D88" s="3" t="s">
        <v>848</v>
      </c>
      <c r="E88" s="3" t="s">
        <v>121</v>
      </c>
    </row>
    <row r="89" spans="1:5" ht="30" x14ac:dyDescent="0.25">
      <c r="A89" s="5" t="s">
        <v>92</v>
      </c>
      <c r="B89" s="3" t="s">
        <v>849</v>
      </c>
      <c r="C89" s="3" t="s">
        <v>689</v>
      </c>
      <c r="D89" s="3" t="s">
        <v>850</v>
      </c>
      <c r="E89" s="3" t="s">
        <v>121</v>
      </c>
    </row>
    <row r="90" spans="1:5" ht="30" x14ac:dyDescent="0.25">
      <c r="A90" s="5" t="s">
        <v>92</v>
      </c>
      <c r="B90" s="3" t="s">
        <v>851</v>
      </c>
      <c r="C90" s="3" t="s">
        <v>680</v>
      </c>
      <c r="D90" s="3" t="s">
        <v>852</v>
      </c>
      <c r="E90" s="3" t="s">
        <v>121</v>
      </c>
    </row>
    <row r="91" spans="1:5" ht="30" x14ac:dyDescent="0.25">
      <c r="A91" s="5" t="s">
        <v>92</v>
      </c>
      <c r="B91" s="3" t="s">
        <v>853</v>
      </c>
      <c r="C91" s="3" t="s">
        <v>680</v>
      </c>
      <c r="D91" s="3" t="s">
        <v>854</v>
      </c>
      <c r="E91" s="3" t="s">
        <v>121</v>
      </c>
    </row>
    <row r="92" spans="1:5" ht="30" x14ac:dyDescent="0.25">
      <c r="A92" s="5" t="s">
        <v>92</v>
      </c>
      <c r="B92" s="3" t="s">
        <v>855</v>
      </c>
      <c r="C92" s="3" t="s">
        <v>680</v>
      </c>
      <c r="D92" s="3" t="s">
        <v>856</v>
      </c>
      <c r="E92" s="3" t="s">
        <v>121</v>
      </c>
    </row>
    <row r="93" spans="1:5" ht="30" x14ac:dyDescent="0.25">
      <c r="A93" s="5" t="s">
        <v>92</v>
      </c>
      <c r="B93" s="3" t="s">
        <v>857</v>
      </c>
      <c r="C93" s="3" t="s">
        <v>680</v>
      </c>
      <c r="D93" s="3" t="s">
        <v>858</v>
      </c>
      <c r="E93" s="3" t="s">
        <v>121</v>
      </c>
    </row>
    <row r="94" spans="1:5" ht="30" x14ac:dyDescent="0.25">
      <c r="A94" s="5" t="s">
        <v>92</v>
      </c>
      <c r="B94" s="3" t="s">
        <v>859</v>
      </c>
      <c r="C94" s="3" t="s">
        <v>689</v>
      </c>
      <c r="D94" s="3" t="s">
        <v>860</v>
      </c>
      <c r="E94" s="3" t="s">
        <v>121</v>
      </c>
    </row>
    <row r="95" spans="1:5" ht="30" x14ac:dyDescent="0.25">
      <c r="A95" s="5" t="s">
        <v>92</v>
      </c>
      <c r="B95" s="3" t="s">
        <v>861</v>
      </c>
      <c r="C95" s="3" t="s">
        <v>680</v>
      </c>
      <c r="D95" s="3" t="s">
        <v>862</v>
      </c>
      <c r="E95" s="3" t="s">
        <v>121</v>
      </c>
    </row>
    <row r="96" spans="1:5" ht="30" x14ac:dyDescent="0.25">
      <c r="A96" s="5" t="s">
        <v>92</v>
      </c>
      <c r="B96" s="3" t="s">
        <v>863</v>
      </c>
      <c r="C96" s="3" t="s">
        <v>680</v>
      </c>
      <c r="D96" s="3" t="s">
        <v>864</v>
      </c>
      <c r="E96" s="3" t="s">
        <v>121</v>
      </c>
    </row>
    <row r="97" spans="1:5" ht="30" x14ac:dyDescent="0.25">
      <c r="A97" s="5" t="s">
        <v>92</v>
      </c>
      <c r="B97" s="3" t="s">
        <v>865</v>
      </c>
      <c r="C97" s="3" t="s">
        <v>680</v>
      </c>
      <c r="D97" s="3" t="s">
        <v>866</v>
      </c>
      <c r="E97" s="3" t="s">
        <v>121</v>
      </c>
    </row>
    <row r="98" spans="1:5" ht="30" x14ac:dyDescent="0.25">
      <c r="A98" s="5" t="s">
        <v>92</v>
      </c>
      <c r="B98" s="3" t="s">
        <v>867</v>
      </c>
      <c r="C98" s="3" t="s">
        <v>680</v>
      </c>
      <c r="D98" s="3" t="s">
        <v>868</v>
      </c>
      <c r="E98" s="3" t="s">
        <v>121</v>
      </c>
    </row>
    <row r="99" spans="1:5" ht="30" x14ac:dyDescent="0.25">
      <c r="A99" s="5" t="s">
        <v>92</v>
      </c>
      <c r="B99" s="3" t="s">
        <v>869</v>
      </c>
      <c r="C99" s="3" t="s">
        <v>689</v>
      </c>
      <c r="D99" s="3" t="s">
        <v>870</v>
      </c>
      <c r="E99" s="3" t="s">
        <v>121</v>
      </c>
    </row>
    <row r="100" spans="1:5" ht="30" x14ac:dyDescent="0.25">
      <c r="A100" s="5" t="s">
        <v>92</v>
      </c>
      <c r="B100" s="3" t="s">
        <v>871</v>
      </c>
      <c r="C100" s="3" t="s">
        <v>680</v>
      </c>
      <c r="D100" s="3" t="s">
        <v>872</v>
      </c>
      <c r="E100" s="3" t="s">
        <v>121</v>
      </c>
    </row>
    <row r="101" spans="1:5" ht="30" x14ac:dyDescent="0.25">
      <c r="A101" s="5" t="s">
        <v>92</v>
      </c>
      <c r="B101" s="3" t="s">
        <v>873</v>
      </c>
      <c r="C101" s="3" t="s">
        <v>680</v>
      </c>
      <c r="D101" s="3" t="s">
        <v>874</v>
      </c>
      <c r="E101" s="3" t="s">
        <v>121</v>
      </c>
    </row>
    <row r="102" spans="1:5" ht="30" x14ac:dyDescent="0.25">
      <c r="A102" s="5" t="s">
        <v>92</v>
      </c>
      <c r="B102" s="3" t="s">
        <v>875</v>
      </c>
      <c r="C102" s="3" t="s">
        <v>680</v>
      </c>
      <c r="D102" s="3" t="s">
        <v>876</v>
      </c>
      <c r="E102" s="3" t="s">
        <v>121</v>
      </c>
    </row>
    <row r="103" spans="1:5" ht="30" x14ac:dyDescent="0.25">
      <c r="A103" s="5" t="s">
        <v>92</v>
      </c>
      <c r="B103" s="3" t="s">
        <v>877</v>
      </c>
      <c r="C103" s="3" t="s">
        <v>680</v>
      </c>
      <c r="D103" s="3" t="s">
        <v>878</v>
      </c>
      <c r="E103" s="3" t="s">
        <v>121</v>
      </c>
    </row>
    <row r="104" spans="1:5" ht="30" x14ac:dyDescent="0.25">
      <c r="A104" s="5" t="s">
        <v>92</v>
      </c>
      <c r="B104" s="3" t="s">
        <v>879</v>
      </c>
      <c r="C104" s="3" t="s">
        <v>689</v>
      </c>
      <c r="D104" s="3" t="s">
        <v>880</v>
      </c>
      <c r="E104" s="3" t="s">
        <v>121</v>
      </c>
    </row>
    <row r="105" spans="1:5" ht="30" x14ac:dyDescent="0.25">
      <c r="A105" s="5" t="s">
        <v>92</v>
      </c>
      <c r="B105" s="3" t="s">
        <v>881</v>
      </c>
      <c r="C105" s="3" t="s">
        <v>680</v>
      </c>
      <c r="D105" s="3" t="s">
        <v>882</v>
      </c>
      <c r="E105" s="3" t="s">
        <v>121</v>
      </c>
    </row>
    <row r="106" spans="1:5" ht="30" x14ac:dyDescent="0.25">
      <c r="A106" s="5" t="s">
        <v>92</v>
      </c>
      <c r="B106" s="3" t="s">
        <v>883</v>
      </c>
      <c r="C106" s="3" t="s">
        <v>680</v>
      </c>
      <c r="D106" s="3" t="s">
        <v>884</v>
      </c>
      <c r="E106" s="3" t="s">
        <v>121</v>
      </c>
    </row>
    <row r="107" spans="1:5" ht="30" x14ac:dyDescent="0.25">
      <c r="A107" s="5" t="s">
        <v>92</v>
      </c>
      <c r="B107" s="3" t="s">
        <v>885</v>
      </c>
      <c r="C107" s="3" t="s">
        <v>680</v>
      </c>
      <c r="D107" s="3" t="s">
        <v>886</v>
      </c>
      <c r="E107" s="3" t="s">
        <v>121</v>
      </c>
    </row>
    <row r="108" spans="1:5" ht="30" x14ac:dyDescent="0.25">
      <c r="A108" s="5" t="s">
        <v>92</v>
      </c>
      <c r="B108" s="3" t="s">
        <v>887</v>
      </c>
      <c r="C108" s="3" t="s">
        <v>680</v>
      </c>
      <c r="D108" s="3" t="s">
        <v>888</v>
      </c>
      <c r="E108" s="3" t="s">
        <v>121</v>
      </c>
    </row>
    <row r="109" spans="1:5" ht="30" x14ac:dyDescent="0.25">
      <c r="A109" s="5" t="s">
        <v>92</v>
      </c>
      <c r="B109" s="3" t="s">
        <v>889</v>
      </c>
      <c r="C109" s="3" t="s">
        <v>689</v>
      </c>
      <c r="D109" s="3" t="s">
        <v>890</v>
      </c>
      <c r="E109" s="3" t="s">
        <v>121</v>
      </c>
    </row>
    <row r="110" spans="1:5" ht="30" x14ac:dyDescent="0.25">
      <c r="A110" s="5" t="s">
        <v>92</v>
      </c>
      <c r="B110" s="3" t="s">
        <v>891</v>
      </c>
      <c r="C110" s="3" t="s">
        <v>680</v>
      </c>
      <c r="D110" s="3" t="s">
        <v>892</v>
      </c>
      <c r="E110" s="3" t="s">
        <v>121</v>
      </c>
    </row>
    <row r="111" spans="1:5" ht="30" x14ac:dyDescent="0.25">
      <c r="A111" s="5" t="s">
        <v>92</v>
      </c>
      <c r="B111" s="3" t="s">
        <v>893</v>
      </c>
      <c r="C111" s="3" t="s">
        <v>680</v>
      </c>
      <c r="D111" s="3" t="s">
        <v>894</v>
      </c>
      <c r="E111" s="3" t="s">
        <v>121</v>
      </c>
    </row>
    <row r="112" spans="1:5" ht="30" x14ac:dyDescent="0.25">
      <c r="A112" s="5" t="s">
        <v>92</v>
      </c>
      <c r="B112" s="3" t="s">
        <v>895</v>
      </c>
      <c r="C112" s="3" t="s">
        <v>680</v>
      </c>
      <c r="D112" s="3" t="s">
        <v>896</v>
      </c>
      <c r="E112" s="3" t="s">
        <v>121</v>
      </c>
    </row>
    <row r="113" spans="1:5" ht="30" x14ac:dyDescent="0.25">
      <c r="A113" s="5" t="s">
        <v>92</v>
      </c>
      <c r="B113" s="3" t="s">
        <v>897</v>
      </c>
      <c r="C113" s="3" t="s">
        <v>680</v>
      </c>
      <c r="D113" s="3" t="s">
        <v>898</v>
      </c>
      <c r="E113" s="3" t="s">
        <v>121</v>
      </c>
    </row>
    <row r="114" spans="1:5" ht="30" x14ac:dyDescent="0.25">
      <c r="A114" s="5" t="s">
        <v>92</v>
      </c>
      <c r="B114" s="3" t="s">
        <v>899</v>
      </c>
      <c r="C114" s="3" t="s">
        <v>689</v>
      </c>
      <c r="D114" s="3" t="s">
        <v>900</v>
      </c>
      <c r="E114" s="3" t="s">
        <v>121</v>
      </c>
    </row>
    <row r="115" spans="1:5" ht="30" x14ac:dyDescent="0.25">
      <c r="A115" s="5" t="s">
        <v>92</v>
      </c>
      <c r="B115" s="3" t="s">
        <v>901</v>
      </c>
      <c r="C115" s="3" t="s">
        <v>680</v>
      </c>
      <c r="D115" s="3" t="s">
        <v>902</v>
      </c>
      <c r="E115" s="3" t="s">
        <v>121</v>
      </c>
    </row>
    <row r="116" spans="1:5" ht="30" x14ac:dyDescent="0.25">
      <c r="A116" s="5" t="s">
        <v>92</v>
      </c>
      <c r="B116" s="3" t="s">
        <v>903</v>
      </c>
      <c r="C116" s="3" t="s">
        <v>680</v>
      </c>
      <c r="D116" s="3" t="s">
        <v>904</v>
      </c>
      <c r="E116" s="3" t="s">
        <v>121</v>
      </c>
    </row>
    <row r="117" spans="1:5" ht="30" x14ac:dyDescent="0.25">
      <c r="A117" s="5" t="s">
        <v>92</v>
      </c>
      <c r="B117" s="3" t="s">
        <v>905</v>
      </c>
      <c r="C117" s="3" t="s">
        <v>680</v>
      </c>
      <c r="D117" s="3" t="s">
        <v>906</v>
      </c>
      <c r="E117" s="3" t="s">
        <v>121</v>
      </c>
    </row>
    <row r="118" spans="1:5" ht="30" x14ac:dyDescent="0.25">
      <c r="A118" s="5" t="s">
        <v>92</v>
      </c>
      <c r="B118" s="3" t="s">
        <v>907</v>
      </c>
      <c r="C118" s="3" t="s">
        <v>680</v>
      </c>
      <c r="D118" s="3" t="s">
        <v>908</v>
      </c>
      <c r="E118" s="3" t="s">
        <v>121</v>
      </c>
    </row>
    <row r="119" spans="1:5" ht="30" x14ac:dyDescent="0.25">
      <c r="A119" s="5" t="s">
        <v>92</v>
      </c>
      <c r="B119" s="3" t="s">
        <v>909</v>
      </c>
      <c r="C119" s="3" t="s">
        <v>689</v>
      </c>
      <c r="D119" s="3" t="s">
        <v>910</v>
      </c>
      <c r="E119" s="3" t="s">
        <v>121</v>
      </c>
    </row>
    <row r="120" spans="1:5" ht="30" x14ac:dyDescent="0.25">
      <c r="A120" s="5" t="s">
        <v>92</v>
      </c>
      <c r="B120" s="3" t="s">
        <v>911</v>
      </c>
      <c r="C120" s="3" t="s">
        <v>680</v>
      </c>
      <c r="D120" s="3" t="s">
        <v>912</v>
      </c>
      <c r="E120" s="3" t="s">
        <v>121</v>
      </c>
    </row>
    <row r="121" spans="1:5" ht="30" x14ac:dyDescent="0.25">
      <c r="A121" s="5" t="s">
        <v>92</v>
      </c>
      <c r="B121" s="3" t="s">
        <v>913</v>
      </c>
      <c r="C121" s="3" t="s">
        <v>680</v>
      </c>
      <c r="D121" s="3" t="s">
        <v>914</v>
      </c>
      <c r="E121" s="3" t="s">
        <v>121</v>
      </c>
    </row>
    <row r="122" spans="1:5" ht="30" x14ac:dyDescent="0.25">
      <c r="A122" s="5" t="s">
        <v>92</v>
      </c>
      <c r="B122" s="3" t="s">
        <v>915</v>
      </c>
      <c r="C122" s="3" t="s">
        <v>680</v>
      </c>
      <c r="D122" s="3" t="s">
        <v>916</v>
      </c>
      <c r="E122" s="3" t="s">
        <v>121</v>
      </c>
    </row>
    <row r="123" spans="1:5" ht="30" x14ac:dyDescent="0.25">
      <c r="A123" s="5" t="s">
        <v>92</v>
      </c>
      <c r="B123" s="3" t="s">
        <v>917</v>
      </c>
      <c r="C123" s="3" t="s">
        <v>680</v>
      </c>
      <c r="D123" s="3" t="s">
        <v>918</v>
      </c>
      <c r="E123" s="3" t="s">
        <v>121</v>
      </c>
    </row>
    <row r="124" spans="1:5" ht="30" x14ac:dyDescent="0.25">
      <c r="A124" s="5" t="s">
        <v>92</v>
      </c>
      <c r="B124" s="3" t="s">
        <v>919</v>
      </c>
      <c r="C124" s="3" t="s">
        <v>689</v>
      </c>
      <c r="D124" s="3" t="s">
        <v>920</v>
      </c>
      <c r="E124" s="3" t="s">
        <v>121</v>
      </c>
    </row>
    <row r="125" spans="1:5" ht="30" x14ac:dyDescent="0.25">
      <c r="A125" s="5" t="s">
        <v>92</v>
      </c>
      <c r="B125" s="3" t="s">
        <v>921</v>
      </c>
      <c r="C125" s="3" t="s">
        <v>680</v>
      </c>
      <c r="D125" s="3" t="s">
        <v>922</v>
      </c>
      <c r="E125" s="3" t="s">
        <v>121</v>
      </c>
    </row>
    <row r="126" spans="1:5" ht="30" x14ac:dyDescent="0.25">
      <c r="A126" s="5" t="s">
        <v>92</v>
      </c>
      <c r="B126" s="3" t="s">
        <v>923</v>
      </c>
      <c r="C126" s="3" t="s">
        <v>680</v>
      </c>
      <c r="D126" s="3" t="s">
        <v>924</v>
      </c>
      <c r="E126" s="3" t="s">
        <v>121</v>
      </c>
    </row>
    <row r="127" spans="1:5" ht="30" x14ac:dyDescent="0.25">
      <c r="A127" s="5" t="s">
        <v>92</v>
      </c>
      <c r="B127" s="3" t="s">
        <v>925</v>
      </c>
      <c r="C127" s="3" t="s">
        <v>680</v>
      </c>
      <c r="D127" s="3" t="s">
        <v>926</v>
      </c>
      <c r="E127" s="3" t="s">
        <v>121</v>
      </c>
    </row>
    <row r="128" spans="1:5" ht="30" x14ac:dyDescent="0.25">
      <c r="A128" s="5" t="s">
        <v>92</v>
      </c>
      <c r="B128" s="3" t="s">
        <v>927</v>
      </c>
      <c r="C128" s="3" t="s">
        <v>680</v>
      </c>
      <c r="D128" s="3" t="s">
        <v>928</v>
      </c>
      <c r="E128" s="3" t="s">
        <v>121</v>
      </c>
    </row>
    <row r="129" spans="1:5" ht="30" x14ac:dyDescent="0.25">
      <c r="A129" s="5" t="s">
        <v>92</v>
      </c>
      <c r="B129" s="3" t="s">
        <v>929</v>
      </c>
      <c r="C129" s="3" t="s">
        <v>689</v>
      </c>
      <c r="D129" s="3" t="s">
        <v>930</v>
      </c>
      <c r="E129" s="3" t="s">
        <v>121</v>
      </c>
    </row>
    <row r="130" spans="1:5" ht="30" x14ac:dyDescent="0.25">
      <c r="A130" s="5" t="s">
        <v>92</v>
      </c>
      <c r="B130" s="3" t="s">
        <v>931</v>
      </c>
      <c r="C130" s="3" t="s">
        <v>680</v>
      </c>
      <c r="D130" s="3" t="s">
        <v>932</v>
      </c>
      <c r="E130" s="3" t="s">
        <v>121</v>
      </c>
    </row>
    <row r="131" spans="1:5" ht="30" x14ac:dyDescent="0.25">
      <c r="A131" s="5" t="s">
        <v>92</v>
      </c>
      <c r="B131" s="3" t="s">
        <v>933</v>
      </c>
      <c r="C131" s="3" t="s">
        <v>680</v>
      </c>
      <c r="D131" s="3" t="s">
        <v>934</v>
      </c>
      <c r="E131" s="3" t="s">
        <v>121</v>
      </c>
    </row>
    <row r="132" spans="1:5" ht="30" x14ac:dyDescent="0.25">
      <c r="A132" s="5" t="s">
        <v>92</v>
      </c>
      <c r="B132" s="3" t="s">
        <v>935</v>
      </c>
      <c r="C132" s="3" t="s">
        <v>680</v>
      </c>
      <c r="D132" s="3" t="s">
        <v>936</v>
      </c>
      <c r="E132" s="3" t="s">
        <v>121</v>
      </c>
    </row>
    <row r="133" spans="1:5" ht="30" x14ac:dyDescent="0.25">
      <c r="A133" s="5" t="s">
        <v>92</v>
      </c>
      <c r="B133" s="3" t="s">
        <v>937</v>
      </c>
      <c r="C133" s="3" t="s">
        <v>680</v>
      </c>
      <c r="D133" s="3" t="s">
        <v>938</v>
      </c>
      <c r="E133" s="3" t="s">
        <v>121</v>
      </c>
    </row>
    <row r="134" spans="1:5" ht="30" x14ac:dyDescent="0.25">
      <c r="A134" s="5" t="s">
        <v>92</v>
      </c>
      <c r="B134" s="3" t="s">
        <v>939</v>
      </c>
      <c r="C134" s="3" t="s">
        <v>689</v>
      </c>
      <c r="D134" s="3" t="s">
        <v>940</v>
      </c>
      <c r="E134" s="3" t="s">
        <v>121</v>
      </c>
    </row>
    <row r="135" spans="1:5" ht="30" x14ac:dyDescent="0.25">
      <c r="A135" s="5" t="s">
        <v>92</v>
      </c>
      <c r="B135" s="3" t="s">
        <v>941</v>
      </c>
      <c r="C135" s="3" t="s">
        <v>680</v>
      </c>
      <c r="D135" s="3" t="s">
        <v>942</v>
      </c>
      <c r="E135" s="3" t="s">
        <v>121</v>
      </c>
    </row>
    <row r="136" spans="1:5" ht="30" x14ac:dyDescent="0.25">
      <c r="A136" s="5" t="s">
        <v>92</v>
      </c>
      <c r="B136" s="3" t="s">
        <v>943</v>
      </c>
      <c r="C136" s="3" t="s">
        <v>680</v>
      </c>
      <c r="D136" s="3" t="s">
        <v>944</v>
      </c>
      <c r="E136" s="3" t="s">
        <v>121</v>
      </c>
    </row>
    <row r="137" spans="1:5" ht="30" x14ac:dyDescent="0.25">
      <c r="A137" s="5" t="s">
        <v>92</v>
      </c>
      <c r="B137" s="3" t="s">
        <v>945</v>
      </c>
      <c r="C137" s="3" t="s">
        <v>680</v>
      </c>
      <c r="D137" s="3" t="s">
        <v>946</v>
      </c>
      <c r="E137" s="3" t="s">
        <v>121</v>
      </c>
    </row>
    <row r="138" spans="1:5" ht="30" x14ac:dyDescent="0.25">
      <c r="A138" s="5" t="s">
        <v>92</v>
      </c>
      <c r="B138" s="3" t="s">
        <v>947</v>
      </c>
      <c r="C138" s="3" t="s">
        <v>680</v>
      </c>
      <c r="D138" s="3" t="s">
        <v>948</v>
      </c>
      <c r="E138" s="3" t="s">
        <v>121</v>
      </c>
    </row>
    <row r="139" spans="1:5" ht="30" x14ac:dyDescent="0.25">
      <c r="A139" s="5" t="s">
        <v>92</v>
      </c>
      <c r="B139" s="3" t="s">
        <v>949</v>
      </c>
      <c r="C139" s="3" t="s">
        <v>689</v>
      </c>
      <c r="D139" s="3" t="s">
        <v>950</v>
      </c>
      <c r="E139" s="3" t="s">
        <v>121</v>
      </c>
    </row>
    <row r="140" spans="1:5" ht="30" x14ac:dyDescent="0.25">
      <c r="A140" s="5" t="s">
        <v>92</v>
      </c>
      <c r="B140" s="3" t="s">
        <v>951</v>
      </c>
      <c r="C140" s="3" t="s">
        <v>680</v>
      </c>
      <c r="D140" s="3" t="s">
        <v>952</v>
      </c>
      <c r="E140" s="3" t="s">
        <v>121</v>
      </c>
    </row>
    <row r="141" spans="1:5" ht="30" x14ac:dyDescent="0.25">
      <c r="A141" s="5" t="s">
        <v>92</v>
      </c>
      <c r="B141" s="3" t="s">
        <v>953</v>
      </c>
      <c r="C141" s="3" t="s">
        <v>680</v>
      </c>
      <c r="D141" s="3" t="s">
        <v>954</v>
      </c>
      <c r="E141" s="3" t="s">
        <v>121</v>
      </c>
    </row>
    <row r="142" spans="1:5" ht="30" x14ac:dyDescent="0.25">
      <c r="A142" s="5" t="s">
        <v>92</v>
      </c>
      <c r="B142" s="3" t="s">
        <v>955</v>
      </c>
      <c r="C142" s="3" t="s">
        <v>680</v>
      </c>
      <c r="D142" s="3" t="s">
        <v>956</v>
      </c>
      <c r="E142" s="3" t="s">
        <v>121</v>
      </c>
    </row>
    <row r="143" spans="1:5" ht="30" x14ac:dyDescent="0.25">
      <c r="A143" s="5" t="s">
        <v>92</v>
      </c>
      <c r="B143" s="3" t="s">
        <v>957</v>
      </c>
      <c r="C143" s="3" t="s">
        <v>680</v>
      </c>
      <c r="D143" s="3" t="s">
        <v>958</v>
      </c>
      <c r="E143" s="3" t="s">
        <v>121</v>
      </c>
    </row>
    <row r="144" spans="1:5" ht="30" x14ac:dyDescent="0.25">
      <c r="A144" s="5" t="s">
        <v>92</v>
      </c>
      <c r="B144" s="3" t="s">
        <v>959</v>
      </c>
      <c r="C144" s="3" t="s">
        <v>689</v>
      </c>
      <c r="D144" s="3" t="s">
        <v>960</v>
      </c>
      <c r="E144" s="3" t="s">
        <v>121</v>
      </c>
    </row>
    <row r="145" spans="1:5" ht="30" x14ac:dyDescent="0.25">
      <c r="A145" s="5" t="s">
        <v>92</v>
      </c>
      <c r="B145" s="3" t="s">
        <v>961</v>
      </c>
      <c r="C145" s="3" t="s">
        <v>680</v>
      </c>
      <c r="D145" s="3" t="s">
        <v>962</v>
      </c>
      <c r="E145" s="3" t="s">
        <v>121</v>
      </c>
    </row>
    <row r="146" spans="1:5" ht="30" x14ac:dyDescent="0.25">
      <c r="A146" s="5" t="s">
        <v>92</v>
      </c>
      <c r="B146" s="3" t="s">
        <v>963</v>
      </c>
      <c r="C146" s="3" t="s">
        <v>680</v>
      </c>
      <c r="D146" s="3" t="s">
        <v>964</v>
      </c>
      <c r="E146" s="3" t="s">
        <v>121</v>
      </c>
    </row>
    <row r="147" spans="1:5" ht="30" x14ac:dyDescent="0.25">
      <c r="A147" s="5" t="s">
        <v>92</v>
      </c>
      <c r="B147" s="3" t="s">
        <v>965</v>
      </c>
      <c r="C147" s="3" t="s">
        <v>680</v>
      </c>
      <c r="D147" s="3" t="s">
        <v>966</v>
      </c>
      <c r="E147" s="3" t="s">
        <v>121</v>
      </c>
    </row>
    <row r="148" spans="1:5" ht="30" x14ac:dyDescent="0.25">
      <c r="A148" s="5" t="s">
        <v>92</v>
      </c>
      <c r="B148" s="3" t="s">
        <v>967</v>
      </c>
      <c r="C148" s="3" t="s">
        <v>680</v>
      </c>
      <c r="D148" s="3" t="s">
        <v>968</v>
      </c>
      <c r="E148" s="3" t="s">
        <v>121</v>
      </c>
    </row>
    <row r="149" spans="1:5" ht="30" x14ac:dyDescent="0.25">
      <c r="A149" s="5" t="s">
        <v>92</v>
      </c>
      <c r="B149" s="3" t="s">
        <v>969</v>
      </c>
      <c r="C149" s="3" t="s">
        <v>689</v>
      </c>
      <c r="D149" s="3" t="s">
        <v>970</v>
      </c>
      <c r="E149" s="3" t="s">
        <v>121</v>
      </c>
    </row>
    <row r="150" spans="1:5" ht="30" x14ac:dyDescent="0.25">
      <c r="A150" s="5" t="s">
        <v>92</v>
      </c>
      <c r="B150" s="3" t="s">
        <v>971</v>
      </c>
      <c r="C150" s="3" t="s">
        <v>680</v>
      </c>
      <c r="D150" s="3" t="s">
        <v>972</v>
      </c>
      <c r="E150" s="3" t="s">
        <v>121</v>
      </c>
    </row>
    <row r="151" spans="1:5" ht="30" x14ac:dyDescent="0.25">
      <c r="A151" s="5" t="s">
        <v>92</v>
      </c>
      <c r="B151" s="3" t="s">
        <v>973</v>
      </c>
      <c r="C151" s="3" t="s">
        <v>680</v>
      </c>
      <c r="D151" s="3" t="s">
        <v>974</v>
      </c>
      <c r="E151" s="3" t="s">
        <v>121</v>
      </c>
    </row>
    <row r="152" spans="1:5" ht="30" x14ac:dyDescent="0.25">
      <c r="A152" s="5" t="s">
        <v>92</v>
      </c>
      <c r="B152" s="3" t="s">
        <v>975</v>
      </c>
      <c r="C152" s="3" t="s">
        <v>680</v>
      </c>
      <c r="D152" s="3" t="s">
        <v>976</v>
      </c>
      <c r="E152" s="3" t="s">
        <v>121</v>
      </c>
    </row>
    <row r="153" spans="1:5" ht="30" x14ac:dyDescent="0.25">
      <c r="A153" s="5" t="s">
        <v>92</v>
      </c>
      <c r="B153" s="3" t="s">
        <v>977</v>
      </c>
      <c r="C153" s="3" t="s">
        <v>680</v>
      </c>
      <c r="D153" s="3" t="s">
        <v>978</v>
      </c>
      <c r="E153" s="3" t="s">
        <v>121</v>
      </c>
    </row>
    <row r="154" spans="1:5" ht="30" x14ac:dyDescent="0.25">
      <c r="A154" s="5" t="s">
        <v>92</v>
      </c>
      <c r="B154" s="3" t="s">
        <v>979</v>
      </c>
      <c r="C154" s="3" t="s">
        <v>689</v>
      </c>
      <c r="D154" s="3" t="s">
        <v>980</v>
      </c>
      <c r="E154" s="3" t="s">
        <v>121</v>
      </c>
    </row>
    <row r="155" spans="1:5" ht="30" x14ac:dyDescent="0.25">
      <c r="A155" s="5" t="s">
        <v>92</v>
      </c>
      <c r="B155" s="3" t="s">
        <v>981</v>
      </c>
      <c r="C155" s="3" t="s">
        <v>680</v>
      </c>
      <c r="D155" s="3" t="s">
        <v>982</v>
      </c>
      <c r="E155" s="3" t="s">
        <v>121</v>
      </c>
    </row>
    <row r="156" spans="1:5" ht="30" x14ac:dyDescent="0.25">
      <c r="A156" s="5" t="s">
        <v>92</v>
      </c>
      <c r="B156" s="3" t="s">
        <v>983</v>
      </c>
      <c r="C156" s="3" t="s">
        <v>680</v>
      </c>
      <c r="D156" s="3" t="s">
        <v>984</v>
      </c>
      <c r="E156" s="3" t="s">
        <v>121</v>
      </c>
    </row>
    <row r="157" spans="1:5" ht="30" x14ac:dyDescent="0.25">
      <c r="A157" s="5" t="s">
        <v>92</v>
      </c>
      <c r="B157" s="3" t="s">
        <v>985</v>
      </c>
      <c r="C157" s="3" t="s">
        <v>680</v>
      </c>
      <c r="D157" s="3" t="s">
        <v>986</v>
      </c>
      <c r="E157" s="3" t="s">
        <v>121</v>
      </c>
    </row>
    <row r="158" spans="1:5" ht="30" x14ac:dyDescent="0.25">
      <c r="A158" s="5" t="s">
        <v>92</v>
      </c>
      <c r="B158" s="3" t="s">
        <v>987</v>
      </c>
      <c r="C158" s="3" t="s">
        <v>680</v>
      </c>
      <c r="D158" s="3" t="s">
        <v>988</v>
      </c>
      <c r="E158" s="3" t="s">
        <v>121</v>
      </c>
    </row>
    <row r="159" spans="1:5" ht="30" x14ac:dyDescent="0.25">
      <c r="A159" s="5" t="s">
        <v>92</v>
      </c>
      <c r="B159" s="3" t="s">
        <v>989</v>
      </c>
      <c r="C159" s="3" t="s">
        <v>689</v>
      </c>
      <c r="D159" s="3" t="s">
        <v>990</v>
      </c>
      <c r="E159" s="3" t="s">
        <v>121</v>
      </c>
    </row>
    <row r="160" spans="1:5" ht="30" x14ac:dyDescent="0.25">
      <c r="A160" s="5" t="s">
        <v>92</v>
      </c>
      <c r="B160" s="3" t="s">
        <v>991</v>
      </c>
      <c r="C160" s="3" t="s">
        <v>680</v>
      </c>
      <c r="D160" s="3" t="s">
        <v>992</v>
      </c>
      <c r="E160" s="3" t="s">
        <v>121</v>
      </c>
    </row>
    <row r="161" spans="1:5" ht="30" x14ac:dyDescent="0.25">
      <c r="A161" s="5" t="s">
        <v>92</v>
      </c>
      <c r="B161" s="3" t="s">
        <v>993</v>
      </c>
      <c r="C161" s="3" t="s">
        <v>680</v>
      </c>
      <c r="D161" s="3" t="s">
        <v>994</v>
      </c>
      <c r="E161" s="3" t="s">
        <v>121</v>
      </c>
    </row>
    <row r="162" spans="1:5" ht="30" x14ac:dyDescent="0.25">
      <c r="A162" s="5" t="s">
        <v>92</v>
      </c>
      <c r="B162" s="3" t="s">
        <v>995</v>
      </c>
      <c r="C162" s="3" t="s">
        <v>680</v>
      </c>
      <c r="D162" s="3" t="s">
        <v>996</v>
      </c>
      <c r="E162" s="3" t="s">
        <v>121</v>
      </c>
    </row>
    <row r="163" spans="1:5" ht="30" x14ac:dyDescent="0.25">
      <c r="A163" s="5" t="s">
        <v>92</v>
      </c>
      <c r="B163" s="3" t="s">
        <v>997</v>
      </c>
      <c r="C163" s="3" t="s">
        <v>680</v>
      </c>
      <c r="D163" s="3" t="s">
        <v>998</v>
      </c>
      <c r="E163" s="3" t="s">
        <v>121</v>
      </c>
    </row>
    <row r="164" spans="1:5" ht="30" x14ac:dyDescent="0.25">
      <c r="A164" s="5" t="s">
        <v>92</v>
      </c>
      <c r="B164" s="3" t="s">
        <v>999</v>
      </c>
      <c r="C164" s="3" t="s">
        <v>689</v>
      </c>
      <c r="D164" s="3" t="s">
        <v>1000</v>
      </c>
      <c r="E164" s="3" t="s">
        <v>121</v>
      </c>
    </row>
    <row r="165" spans="1:5" ht="30" x14ac:dyDescent="0.25">
      <c r="A165" s="5" t="s">
        <v>92</v>
      </c>
      <c r="B165" s="3" t="s">
        <v>1001</v>
      </c>
      <c r="C165" s="3" t="s">
        <v>680</v>
      </c>
      <c r="D165" s="3" t="s">
        <v>1002</v>
      </c>
      <c r="E165" s="3" t="s">
        <v>121</v>
      </c>
    </row>
    <row r="166" spans="1:5" ht="30" x14ac:dyDescent="0.25">
      <c r="A166" s="5" t="s">
        <v>92</v>
      </c>
      <c r="B166" s="3" t="s">
        <v>1003</v>
      </c>
      <c r="C166" s="3" t="s">
        <v>680</v>
      </c>
      <c r="D166" s="3" t="s">
        <v>1004</v>
      </c>
      <c r="E166" s="3" t="s">
        <v>121</v>
      </c>
    </row>
    <row r="167" spans="1:5" ht="30" x14ac:dyDescent="0.25">
      <c r="A167" s="5" t="s">
        <v>92</v>
      </c>
      <c r="B167" s="3" t="s">
        <v>1005</v>
      </c>
      <c r="C167" s="3" t="s">
        <v>680</v>
      </c>
      <c r="D167" s="3" t="s">
        <v>1006</v>
      </c>
      <c r="E167" s="3" t="s">
        <v>121</v>
      </c>
    </row>
    <row r="168" spans="1:5" ht="30" x14ac:dyDescent="0.25">
      <c r="A168" s="5" t="s">
        <v>92</v>
      </c>
      <c r="B168" s="3" t="s">
        <v>1007</v>
      </c>
      <c r="C168" s="3" t="s">
        <v>680</v>
      </c>
      <c r="D168" s="3" t="s">
        <v>1008</v>
      </c>
      <c r="E168" s="3" t="s">
        <v>121</v>
      </c>
    </row>
    <row r="169" spans="1:5" ht="30" x14ac:dyDescent="0.25">
      <c r="A169" s="5" t="s">
        <v>92</v>
      </c>
      <c r="B169" s="3" t="s">
        <v>1009</v>
      </c>
      <c r="C169" s="3" t="s">
        <v>689</v>
      </c>
      <c r="D169" s="3" t="s">
        <v>1010</v>
      </c>
      <c r="E169" s="3" t="s">
        <v>121</v>
      </c>
    </row>
    <row r="170" spans="1:5" ht="30" x14ac:dyDescent="0.25">
      <c r="A170" s="5" t="s">
        <v>92</v>
      </c>
      <c r="B170" s="3" t="s">
        <v>1011</v>
      </c>
      <c r="C170" s="3" t="s">
        <v>680</v>
      </c>
      <c r="D170" s="3" t="s">
        <v>1012</v>
      </c>
      <c r="E170" s="3" t="s">
        <v>121</v>
      </c>
    </row>
    <row r="171" spans="1:5" ht="30" x14ac:dyDescent="0.25">
      <c r="A171" s="5" t="s">
        <v>92</v>
      </c>
      <c r="B171" s="3" t="s">
        <v>1013</v>
      </c>
      <c r="C171" s="3" t="s">
        <v>680</v>
      </c>
      <c r="D171" s="3" t="s">
        <v>1014</v>
      </c>
      <c r="E171" s="3" t="s">
        <v>121</v>
      </c>
    </row>
    <row r="172" spans="1:5" ht="30" x14ac:dyDescent="0.25">
      <c r="A172" s="5" t="s">
        <v>92</v>
      </c>
      <c r="B172" s="3" t="s">
        <v>1015</v>
      </c>
      <c r="C172" s="3" t="s">
        <v>680</v>
      </c>
      <c r="D172" s="3" t="s">
        <v>1016</v>
      </c>
      <c r="E172" s="3" t="s">
        <v>121</v>
      </c>
    </row>
    <row r="173" spans="1:5" ht="30" x14ac:dyDescent="0.25">
      <c r="A173" s="5" t="s">
        <v>92</v>
      </c>
      <c r="B173" s="3" t="s">
        <v>1017</v>
      </c>
      <c r="C173" s="3" t="s">
        <v>680</v>
      </c>
      <c r="D173" s="3" t="s">
        <v>1018</v>
      </c>
      <c r="E173" s="3" t="s">
        <v>121</v>
      </c>
    </row>
    <row r="174" spans="1:5" ht="30" x14ac:dyDescent="0.25">
      <c r="A174" s="5" t="s">
        <v>92</v>
      </c>
      <c r="B174" s="3" t="s">
        <v>1019</v>
      </c>
      <c r="C174" s="3" t="s">
        <v>689</v>
      </c>
      <c r="D174" s="3" t="s">
        <v>1020</v>
      </c>
      <c r="E174" s="3" t="s">
        <v>121</v>
      </c>
    </row>
    <row r="175" spans="1:5" ht="30" x14ac:dyDescent="0.25">
      <c r="A175" s="5" t="s">
        <v>92</v>
      </c>
      <c r="B175" s="3" t="s">
        <v>1021</v>
      </c>
      <c r="C175" s="3" t="s">
        <v>680</v>
      </c>
      <c r="D175" s="3" t="s">
        <v>1022</v>
      </c>
      <c r="E175" s="3" t="s">
        <v>121</v>
      </c>
    </row>
    <row r="176" spans="1:5" ht="30" x14ac:dyDescent="0.25">
      <c r="A176" s="5" t="s">
        <v>92</v>
      </c>
      <c r="B176" s="3" t="s">
        <v>1023</v>
      </c>
      <c r="C176" s="3" t="s">
        <v>680</v>
      </c>
      <c r="D176" s="3" t="s">
        <v>1024</v>
      </c>
      <c r="E176" s="3" t="s">
        <v>121</v>
      </c>
    </row>
    <row r="177" spans="1:5" ht="30" x14ac:dyDescent="0.25">
      <c r="A177" s="5" t="s">
        <v>92</v>
      </c>
      <c r="B177" s="3" t="s">
        <v>1025</v>
      </c>
      <c r="C177" s="3" t="s">
        <v>680</v>
      </c>
      <c r="D177" s="3" t="s">
        <v>1026</v>
      </c>
      <c r="E177" s="3" t="s">
        <v>121</v>
      </c>
    </row>
    <row r="178" spans="1:5" ht="30" x14ac:dyDescent="0.25">
      <c r="A178" s="5" t="s">
        <v>92</v>
      </c>
      <c r="B178" s="3" t="s">
        <v>1027</v>
      </c>
      <c r="C178" s="3" t="s">
        <v>680</v>
      </c>
      <c r="D178" s="3" t="s">
        <v>1028</v>
      </c>
      <c r="E178" s="3" t="s">
        <v>121</v>
      </c>
    </row>
    <row r="179" spans="1:5" ht="30" x14ac:dyDescent="0.25">
      <c r="A179" s="5" t="s">
        <v>92</v>
      </c>
      <c r="B179" s="3" t="s">
        <v>1029</v>
      </c>
      <c r="C179" s="3" t="s">
        <v>689</v>
      </c>
      <c r="D179" s="3" t="s">
        <v>1030</v>
      </c>
      <c r="E179" s="3" t="s">
        <v>121</v>
      </c>
    </row>
    <row r="180" spans="1:5" ht="30" x14ac:dyDescent="0.25">
      <c r="A180" s="5" t="s">
        <v>92</v>
      </c>
      <c r="B180" s="3" t="s">
        <v>1031</v>
      </c>
      <c r="C180" s="3" t="s">
        <v>680</v>
      </c>
      <c r="D180" s="3" t="s">
        <v>1032</v>
      </c>
      <c r="E180" s="3" t="s">
        <v>121</v>
      </c>
    </row>
    <row r="181" spans="1:5" ht="30" x14ac:dyDescent="0.25">
      <c r="A181" s="5" t="s">
        <v>92</v>
      </c>
      <c r="B181" s="3" t="s">
        <v>1033</v>
      </c>
      <c r="C181" s="3" t="s">
        <v>680</v>
      </c>
      <c r="D181" s="3" t="s">
        <v>1034</v>
      </c>
      <c r="E181" s="3" t="s">
        <v>121</v>
      </c>
    </row>
    <row r="182" spans="1:5" ht="30" x14ac:dyDescent="0.25">
      <c r="A182" s="5" t="s">
        <v>92</v>
      </c>
      <c r="B182" s="3" t="s">
        <v>1035</v>
      </c>
      <c r="C182" s="3" t="s">
        <v>680</v>
      </c>
      <c r="D182" s="3" t="s">
        <v>1036</v>
      </c>
      <c r="E182" s="3" t="s">
        <v>121</v>
      </c>
    </row>
    <row r="183" spans="1:5" ht="30" x14ac:dyDescent="0.25">
      <c r="A183" s="5" t="s">
        <v>92</v>
      </c>
      <c r="B183" s="3" t="s">
        <v>1037</v>
      </c>
      <c r="C183" s="3" t="s">
        <v>680</v>
      </c>
      <c r="D183" s="3" t="s">
        <v>1038</v>
      </c>
      <c r="E183" s="3" t="s">
        <v>121</v>
      </c>
    </row>
    <row r="184" spans="1:5" ht="30" x14ac:dyDescent="0.25">
      <c r="A184" s="5" t="s">
        <v>92</v>
      </c>
      <c r="B184" s="3" t="s">
        <v>1039</v>
      </c>
      <c r="C184" s="3" t="s">
        <v>689</v>
      </c>
      <c r="D184" s="3" t="s">
        <v>1040</v>
      </c>
      <c r="E184" s="3" t="s">
        <v>121</v>
      </c>
    </row>
  </sheetData>
  <mergeCells count="2">
    <mergeCell ref="A1:E1"/>
    <mergeCell ref="A2:E2"/>
  </mergeCells>
  <conditionalFormatting sqref="A5:A184">
    <cfRule type="expression" dxfId="95" priority="1">
      <formula>A5="☑"</formula>
    </cfRule>
  </conditionalFormatting>
  <conditionalFormatting sqref="E5:E184">
    <cfRule type="expression" dxfId="94" priority="2">
      <formula>$E5="P0"</formula>
    </cfRule>
    <cfRule type="expression" dxfId="93" priority="3">
      <formula>$E5="P1"</formula>
    </cfRule>
    <cfRule type="expression" dxfId="92" priority="4">
      <formula>$E5="P2"</formula>
    </cfRule>
  </conditionalFormatting>
  <dataValidations count="1">
    <dataValidation type="list" sqref="A5:A184" xr:uid="{00000000-0002-0000-10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8"/>
  <sheetViews>
    <sheetView topLeftCell="A47"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41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45" x14ac:dyDescent="0.25">
      <c r="A5" s="5" t="s">
        <v>92</v>
      </c>
      <c r="B5" s="3" t="s">
        <v>1041</v>
      </c>
      <c r="C5" s="3" t="s">
        <v>1042</v>
      </c>
      <c r="D5" s="3" t="s">
        <v>1043</v>
      </c>
      <c r="E5" s="3" t="s">
        <v>116</v>
      </c>
    </row>
    <row r="6" spans="1:5" ht="45" x14ac:dyDescent="0.25">
      <c r="A6" s="5" t="s">
        <v>92</v>
      </c>
      <c r="B6" s="3" t="s">
        <v>1044</v>
      </c>
      <c r="C6" s="3" t="s">
        <v>1042</v>
      </c>
      <c r="D6" s="3" t="s">
        <v>1045</v>
      </c>
      <c r="E6" s="3" t="s">
        <v>116</v>
      </c>
    </row>
    <row r="7" spans="1:5" ht="45" x14ac:dyDescent="0.25">
      <c r="A7" s="5" t="s">
        <v>92</v>
      </c>
      <c r="B7" s="3" t="s">
        <v>1046</v>
      </c>
      <c r="C7" s="3" t="s">
        <v>1042</v>
      </c>
      <c r="D7" s="3" t="s">
        <v>1047</v>
      </c>
      <c r="E7" s="3" t="s">
        <v>116</v>
      </c>
    </row>
    <row r="8" spans="1:5" ht="45" x14ac:dyDescent="0.25">
      <c r="A8" s="5" t="s">
        <v>92</v>
      </c>
      <c r="B8" s="3" t="s">
        <v>1048</v>
      </c>
      <c r="C8" s="3" t="s">
        <v>1042</v>
      </c>
      <c r="D8" s="3" t="s">
        <v>1049</v>
      </c>
      <c r="E8" s="3" t="s">
        <v>116</v>
      </c>
    </row>
    <row r="9" spans="1:5" ht="45" x14ac:dyDescent="0.25">
      <c r="A9" s="5" t="s">
        <v>92</v>
      </c>
      <c r="B9" s="3" t="s">
        <v>1050</v>
      </c>
      <c r="C9" s="3" t="s">
        <v>1042</v>
      </c>
      <c r="D9" s="3" t="s">
        <v>1051</v>
      </c>
      <c r="E9" s="3" t="s">
        <v>116</v>
      </c>
    </row>
    <row r="10" spans="1:5" ht="45" x14ac:dyDescent="0.25">
      <c r="A10" s="5" t="s">
        <v>92</v>
      </c>
      <c r="B10" s="3" t="s">
        <v>1052</v>
      </c>
      <c r="C10" s="3" t="s">
        <v>1042</v>
      </c>
      <c r="D10" s="3" t="s">
        <v>1053</v>
      </c>
      <c r="E10" s="3" t="s">
        <v>116</v>
      </c>
    </row>
    <row r="11" spans="1:5" ht="45" x14ac:dyDescent="0.25">
      <c r="A11" s="5" t="s">
        <v>92</v>
      </c>
      <c r="B11" s="3" t="s">
        <v>1054</v>
      </c>
      <c r="C11" s="3" t="s">
        <v>1042</v>
      </c>
      <c r="D11" s="3" t="s">
        <v>1055</v>
      </c>
      <c r="E11" s="3" t="s">
        <v>116</v>
      </c>
    </row>
    <row r="12" spans="1:5" ht="30" x14ac:dyDescent="0.25">
      <c r="A12" s="5" t="s">
        <v>92</v>
      </c>
      <c r="B12" s="3" t="s">
        <v>1056</v>
      </c>
      <c r="C12" s="3" t="s">
        <v>1057</v>
      </c>
      <c r="D12" s="3" t="s">
        <v>1058</v>
      </c>
      <c r="E12" s="3" t="s">
        <v>121</v>
      </c>
    </row>
    <row r="13" spans="1:5" x14ac:dyDescent="0.25">
      <c r="A13" s="5" t="s">
        <v>92</v>
      </c>
      <c r="B13" s="3" t="s">
        <v>1059</v>
      </c>
      <c r="C13" s="3" t="s">
        <v>1060</v>
      </c>
      <c r="D13" s="3" t="s">
        <v>1061</v>
      </c>
      <c r="E13" s="3" t="s">
        <v>121</v>
      </c>
    </row>
    <row r="14" spans="1:5" ht="45" x14ac:dyDescent="0.25">
      <c r="A14" s="5" t="s">
        <v>92</v>
      </c>
      <c r="B14" s="3" t="s">
        <v>1062</v>
      </c>
      <c r="C14" s="3" t="s">
        <v>1042</v>
      </c>
      <c r="D14" s="3" t="s">
        <v>1063</v>
      </c>
      <c r="E14" s="3" t="s">
        <v>121</v>
      </c>
    </row>
    <row r="15" spans="1:5" ht="45" x14ac:dyDescent="0.25">
      <c r="A15" s="5" t="s">
        <v>92</v>
      </c>
      <c r="B15" s="3" t="s">
        <v>1064</v>
      </c>
      <c r="C15" s="3" t="s">
        <v>1042</v>
      </c>
      <c r="D15" s="3" t="s">
        <v>1065</v>
      </c>
      <c r="E15" s="3" t="s">
        <v>121</v>
      </c>
    </row>
    <row r="16" spans="1:5" ht="45" x14ac:dyDescent="0.25">
      <c r="A16" s="5" t="s">
        <v>92</v>
      </c>
      <c r="B16" s="3" t="s">
        <v>1066</v>
      </c>
      <c r="C16" s="3" t="s">
        <v>1042</v>
      </c>
      <c r="D16" s="3" t="s">
        <v>1067</v>
      </c>
      <c r="E16" s="3" t="s">
        <v>121</v>
      </c>
    </row>
    <row r="17" spans="1:5" ht="45" x14ac:dyDescent="0.25">
      <c r="A17" s="5" t="s">
        <v>92</v>
      </c>
      <c r="B17" s="3" t="s">
        <v>1068</v>
      </c>
      <c r="C17" s="3" t="s">
        <v>1042</v>
      </c>
      <c r="D17" s="3" t="s">
        <v>1069</v>
      </c>
      <c r="E17" s="3" t="s">
        <v>121</v>
      </c>
    </row>
    <row r="18" spans="1:5" ht="45" x14ac:dyDescent="0.25">
      <c r="A18" s="5" t="s">
        <v>92</v>
      </c>
      <c r="B18" s="3" t="s">
        <v>1070</v>
      </c>
      <c r="C18" s="3" t="s">
        <v>1042</v>
      </c>
      <c r="D18" s="3" t="s">
        <v>1071</v>
      </c>
      <c r="E18" s="3" t="s">
        <v>121</v>
      </c>
    </row>
    <row r="19" spans="1:5" ht="45" x14ac:dyDescent="0.25">
      <c r="A19" s="5" t="s">
        <v>92</v>
      </c>
      <c r="B19" s="3" t="s">
        <v>1072</v>
      </c>
      <c r="C19" s="3" t="s">
        <v>1042</v>
      </c>
      <c r="D19" s="3" t="s">
        <v>1073</v>
      </c>
      <c r="E19" s="3" t="s">
        <v>121</v>
      </c>
    </row>
    <row r="20" spans="1:5" ht="45" x14ac:dyDescent="0.25">
      <c r="A20" s="5" t="s">
        <v>92</v>
      </c>
      <c r="B20" s="3" t="s">
        <v>1074</v>
      </c>
      <c r="C20" s="3" t="s">
        <v>1042</v>
      </c>
      <c r="D20" s="3" t="s">
        <v>1075</v>
      </c>
      <c r="E20" s="3" t="s">
        <v>121</v>
      </c>
    </row>
    <row r="21" spans="1:5" ht="30" x14ac:dyDescent="0.25">
      <c r="A21" s="5" t="s">
        <v>92</v>
      </c>
      <c r="B21" s="3" t="s">
        <v>1076</v>
      </c>
      <c r="C21" s="3" t="s">
        <v>1057</v>
      </c>
      <c r="D21" s="3" t="s">
        <v>1077</v>
      </c>
      <c r="E21" s="3" t="s">
        <v>121</v>
      </c>
    </row>
    <row r="22" spans="1:5" x14ac:dyDescent="0.25">
      <c r="A22" s="5" t="s">
        <v>92</v>
      </c>
      <c r="B22" s="3" t="s">
        <v>1078</v>
      </c>
      <c r="C22" s="3" t="s">
        <v>1060</v>
      </c>
      <c r="D22" s="3" t="s">
        <v>1079</v>
      </c>
      <c r="E22" s="3" t="s">
        <v>121</v>
      </c>
    </row>
    <row r="23" spans="1:5" ht="45" x14ac:dyDescent="0.25">
      <c r="A23" s="5" t="s">
        <v>92</v>
      </c>
      <c r="B23" s="3" t="s">
        <v>1080</v>
      </c>
      <c r="C23" s="3" t="s">
        <v>1042</v>
      </c>
      <c r="D23" s="3" t="s">
        <v>1081</v>
      </c>
      <c r="E23" s="3" t="s">
        <v>121</v>
      </c>
    </row>
    <row r="24" spans="1:5" ht="45" x14ac:dyDescent="0.25">
      <c r="A24" s="5" t="s">
        <v>92</v>
      </c>
      <c r="B24" s="3" t="s">
        <v>1082</v>
      </c>
      <c r="C24" s="3" t="s">
        <v>1042</v>
      </c>
      <c r="D24" s="3" t="s">
        <v>1083</v>
      </c>
      <c r="E24" s="3" t="s">
        <v>121</v>
      </c>
    </row>
    <row r="25" spans="1:5" ht="45" x14ac:dyDescent="0.25">
      <c r="A25" s="5" t="s">
        <v>92</v>
      </c>
      <c r="B25" s="3" t="s">
        <v>1084</v>
      </c>
      <c r="C25" s="3" t="s">
        <v>1042</v>
      </c>
      <c r="D25" s="3" t="s">
        <v>1085</v>
      </c>
      <c r="E25" s="3" t="s">
        <v>121</v>
      </c>
    </row>
    <row r="26" spans="1:5" ht="45" x14ac:dyDescent="0.25">
      <c r="A26" s="5" t="s">
        <v>92</v>
      </c>
      <c r="B26" s="3" t="s">
        <v>1086</v>
      </c>
      <c r="C26" s="3" t="s">
        <v>1042</v>
      </c>
      <c r="D26" s="3" t="s">
        <v>1087</v>
      </c>
      <c r="E26" s="3" t="s">
        <v>121</v>
      </c>
    </row>
    <row r="27" spans="1:5" ht="45" x14ac:dyDescent="0.25">
      <c r="A27" s="5" t="s">
        <v>92</v>
      </c>
      <c r="B27" s="3" t="s">
        <v>1088</v>
      </c>
      <c r="C27" s="3" t="s">
        <v>1042</v>
      </c>
      <c r="D27" s="3" t="s">
        <v>1089</v>
      </c>
      <c r="E27" s="3" t="s">
        <v>121</v>
      </c>
    </row>
    <row r="28" spans="1:5" ht="45" x14ac:dyDescent="0.25">
      <c r="A28" s="5" t="s">
        <v>92</v>
      </c>
      <c r="B28" s="3" t="s">
        <v>1090</v>
      </c>
      <c r="C28" s="3" t="s">
        <v>1042</v>
      </c>
      <c r="D28" s="3" t="s">
        <v>1091</v>
      </c>
      <c r="E28" s="3" t="s">
        <v>121</v>
      </c>
    </row>
    <row r="29" spans="1:5" ht="45" x14ac:dyDescent="0.25">
      <c r="A29" s="5" t="s">
        <v>92</v>
      </c>
      <c r="B29" s="3" t="s">
        <v>1092</v>
      </c>
      <c r="C29" s="3" t="s">
        <v>1042</v>
      </c>
      <c r="D29" s="3" t="s">
        <v>1093</v>
      </c>
      <c r="E29" s="3" t="s">
        <v>121</v>
      </c>
    </row>
    <row r="30" spans="1:5" ht="30" x14ac:dyDescent="0.25">
      <c r="A30" s="5" t="s">
        <v>92</v>
      </c>
      <c r="B30" s="3" t="s">
        <v>1094</v>
      </c>
      <c r="C30" s="3" t="s">
        <v>1057</v>
      </c>
      <c r="D30" s="3" t="s">
        <v>1095</v>
      </c>
      <c r="E30" s="3" t="s">
        <v>121</v>
      </c>
    </row>
    <row r="31" spans="1:5" x14ac:dyDescent="0.25">
      <c r="A31" s="5" t="s">
        <v>92</v>
      </c>
      <c r="B31" s="3" t="s">
        <v>1096</v>
      </c>
      <c r="C31" s="3" t="s">
        <v>1060</v>
      </c>
      <c r="D31" s="3" t="s">
        <v>1097</v>
      </c>
      <c r="E31" s="3" t="s">
        <v>121</v>
      </c>
    </row>
    <row r="32" spans="1:5" ht="45" x14ac:dyDescent="0.25">
      <c r="A32" s="5" t="s">
        <v>92</v>
      </c>
      <c r="B32" s="3" t="s">
        <v>1098</v>
      </c>
      <c r="C32" s="3" t="s">
        <v>1042</v>
      </c>
      <c r="D32" s="3" t="s">
        <v>1099</v>
      </c>
      <c r="E32" s="3" t="s">
        <v>121</v>
      </c>
    </row>
    <row r="33" spans="1:5" ht="45" x14ac:dyDescent="0.25">
      <c r="A33" s="5" t="s">
        <v>92</v>
      </c>
      <c r="B33" s="3" t="s">
        <v>1100</v>
      </c>
      <c r="C33" s="3" t="s">
        <v>1042</v>
      </c>
      <c r="D33" s="3" t="s">
        <v>1101</v>
      </c>
      <c r="E33" s="3" t="s">
        <v>121</v>
      </c>
    </row>
    <row r="34" spans="1:5" ht="45" x14ac:dyDescent="0.25">
      <c r="A34" s="5" t="s">
        <v>92</v>
      </c>
      <c r="B34" s="3" t="s">
        <v>1102</v>
      </c>
      <c r="C34" s="3" t="s">
        <v>1042</v>
      </c>
      <c r="D34" s="3" t="s">
        <v>1103</v>
      </c>
      <c r="E34" s="3" t="s">
        <v>121</v>
      </c>
    </row>
    <row r="35" spans="1:5" ht="45" x14ac:dyDescent="0.25">
      <c r="A35" s="5" t="s">
        <v>92</v>
      </c>
      <c r="B35" s="3" t="s">
        <v>1104</v>
      </c>
      <c r="C35" s="3" t="s">
        <v>1042</v>
      </c>
      <c r="D35" s="3" t="s">
        <v>1105</v>
      </c>
      <c r="E35" s="3" t="s">
        <v>121</v>
      </c>
    </row>
    <row r="36" spans="1:5" ht="45" x14ac:dyDescent="0.25">
      <c r="A36" s="5" t="s">
        <v>92</v>
      </c>
      <c r="B36" s="3" t="s">
        <v>1106</v>
      </c>
      <c r="C36" s="3" t="s">
        <v>1042</v>
      </c>
      <c r="D36" s="3" t="s">
        <v>1107</v>
      </c>
      <c r="E36" s="3" t="s">
        <v>121</v>
      </c>
    </row>
    <row r="37" spans="1:5" ht="45" x14ac:dyDescent="0.25">
      <c r="A37" s="5" t="s">
        <v>92</v>
      </c>
      <c r="B37" s="3" t="s">
        <v>1108</v>
      </c>
      <c r="C37" s="3" t="s">
        <v>1042</v>
      </c>
      <c r="D37" s="3" t="s">
        <v>1109</v>
      </c>
      <c r="E37" s="3" t="s">
        <v>121</v>
      </c>
    </row>
    <row r="38" spans="1:5" ht="45" x14ac:dyDescent="0.25">
      <c r="A38" s="5" t="s">
        <v>92</v>
      </c>
      <c r="B38" s="3" t="s">
        <v>1110</v>
      </c>
      <c r="C38" s="3" t="s">
        <v>1042</v>
      </c>
      <c r="D38" s="3" t="s">
        <v>1111</v>
      </c>
      <c r="E38" s="3" t="s">
        <v>121</v>
      </c>
    </row>
    <row r="39" spans="1:5" ht="30" x14ac:dyDescent="0.25">
      <c r="A39" s="5" t="s">
        <v>92</v>
      </c>
      <c r="B39" s="3" t="s">
        <v>1112</v>
      </c>
      <c r="C39" s="3" t="s">
        <v>1057</v>
      </c>
      <c r="D39" s="3" t="s">
        <v>1113</v>
      </c>
      <c r="E39" s="3" t="s">
        <v>121</v>
      </c>
    </row>
    <row r="40" spans="1:5" x14ac:dyDescent="0.25">
      <c r="A40" s="5" t="s">
        <v>92</v>
      </c>
      <c r="B40" s="3" t="s">
        <v>1114</v>
      </c>
      <c r="C40" s="3" t="s">
        <v>1060</v>
      </c>
      <c r="D40" s="3" t="s">
        <v>1115</v>
      </c>
      <c r="E40" s="3" t="s">
        <v>121</v>
      </c>
    </row>
    <row r="41" spans="1:5" ht="45" x14ac:dyDescent="0.25">
      <c r="A41" s="5" t="s">
        <v>92</v>
      </c>
      <c r="B41" s="3" t="s">
        <v>1116</v>
      </c>
      <c r="C41" s="3" t="s">
        <v>1042</v>
      </c>
      <c r="D41" s="3" t="s">
        <v>1117</v>
      </c>
      <c r="E41" s="3" t="s">
        <v>121</v>
      </c>
    </row>
    <row r="42" spans="1:5" ht="45" x14ac:dyDescent="0.25">
      <c r="A42" s="5" t="s">
        <v>92</v>
      </c>
      <c r="B42" s="3" t="s">
        <v>1118</v>
      </c>
      <c r="C42" s="3" t="s">
        <v>1042</v>
      </c>
      <c r="D42" s="3" t="s">
        <v>1119</v>
      </c>
      <c r="E42" s="3" t="s">
        <v>121</v>
      </c>
    </row>
    <row r="43" spans="1:5" ht="45" x14ac:dyDescent="0.25">
      <c r="A43" s="5" t="s">
        <v>92</v>
      </c>
      <c r="B43" s="3" t="s">
        <v>1120</v>
      </c>
      <c r="C43" s="3" t="s">
        <v>1042</v>
      </c>
      <c r="D43" s="3" t="s">
        <v>1121</v>
      </c>
      <c r="E43" s="3" t="s">
        <v>121</v>
      </c>
    </row>
    <row r="44" spans="1:5" ht="45" x14ac:dyDescent="0.25">
      <c r="A44" s="5" t="s">
        <v>92</v>
      </c>
      <c r="B44" s="3" t="s">
        <v>1122</v>
      </c>
      <c r="C44" s="3" t="s">
        <v>1042</v>
      </c>
      <c r="D44" s="3" t="s">
        <v>1123</v>
      </c>
      <c r="E44" s="3" t="s">
        <v>121</v>
      </c>
    </row>
    <row r="45" spans="1:5" ht="45" x14ac:dyDescent="0.25">
      <c r="A45" s="5" t="s">
        <v>92</v>
      </c>
      <c r="B45" s="3" t="s">
        <v>1124</v>
      </c>
      <c r="C45" s="3" t="s">
        <v>1042</v>
      </c>
      <c r="D45" s="3" t="s">
        <v>1125</v>
      </c>
      <c r="E45" s="3" t="s">
        <v>121</v>
      </c>
    </row>
    <row r="46" spans="1:5" ht="45" x14ac:dyDescent="0.25">
      <c r="A46" s="5" t="s">
        <v>92</v>
      </c>
      <c r="B46" s="3" t="s">
        <v>1126</v>
      </c>
      <c r="C46" s="3" t="s">
        <v>1042</v>
      </c>
      <c r="D46" s="3" t="s">
        <v>1127</v>
      </c>
      <c r="E46" s="3" t="s">
        <v>121</v>
      </c>
    </row>
    <row r="47" spans="1:5" ht="45" x14ac:dyDescent="0.25">
      <c r="A47" s="5" t="s">
        <v>92</v>
      </c>
      <c r="B47" s="3" t="s">
        <v>1128</v>
      </c>
      <c r="C47" s="3" t="s">
        <v>1042</v>
      </c>
      <c r="D47" s="3" t="s">
        <v>1129</v>
      </c>
      <c r="E47" s="3" t="s">
        <v>121</v>
      </c>
    </row>
    <row r="48" spans="1:5" ht="30" x14ac:dyDescent="0.25">
      <c r="A48" s="5" t="s">
        <v>92</v>
      </c>
      <c r="B48" s="3" t="s">
        <v>1130</v>
      </c>
      <c r="C48" s="3" t="s">
        <v>1057</v>
      </c>
      <c r="D48" s="3" t="s">
        <v>1131</v>
      </c>
      <c r="E48" s="3" t="s">
        <v>121</v>
      </c>
    </row>
    <row r="49" spans="1:5" x14ac:dyDescent="0.25">
      <c r="A49" s="5" t="s">
        <v>92</v>
      </c>
      <c r="B49" s="3" t="s">
        <v>1132</v>
      </c>
      <c r="C49" s="3" t="s">
        <v>1060</v>
      </c>
      <c r="D49" s="3" t="s">
        <v>1133</v>
      </c>
      <c r="E49" s="3" t="s">
        <v>121</v>
      </c>
    </row>
    <row r="50" spans="1:5" ht="45" x14ac:dyDescent="0.25">
      <c r="A50" s="5" t="s">
        <v>92</v>
      </c>
      <c r="B50" s="3" t="s">
        <v>1134</v>
      </c>
      <c r="C50" s="3" t="s">
        <v>1042</v>
      </c>
      <c r="D50" s="3" t="s">
        <v>1135</v>
      </c>
      <c r="E50" s="3" t="s">
        <v>116</v>
      </c>
    </row>
    <row r="51" spans="1:5" ht="45" x14ac:dyDescent="0.25">
      <c r="A51" s="5" t="s">
        <v>92</v>
      </c>
      <c r="B51" s="3" t="s">
        <v>1136</v>
      </c>
      <c r="C51" s="3" t="s">
        <v>1042</v>
      </c>
      <c r="D51" s="3" t="s">
        <v>1137</v>
      </c>
      <c r="E51" s="3" t="s">
        <v>116</v>
      </c>
    </row>
    <row r="52" spans="1:5" ht="45" x14ac:dyDescent="0.25">
      <c r="A52" s="5" t="s">
        <v>92</v>
      </c>
      <c r="B52" s="3" t="s">
        <v>1138</v>
      </c>
      <c r="C52" s="3" t="s">
        <v>1042</v>
      </c>
      <c r="D52" s="3" t="s">
        <v>1139</v>
      </c>
      <c r="E52" s="3" t="s">
        <v>116</v>
      </c>
    </row>
    <row r="53" spans="1:5" ht="45" x14ac:dyDescent="0.25">
      <c r="A53" s="5" t="s">
        <v>92</v>
      </c>
      <c r="B53" s="3" t="s">
        <v>1140</v>
      </c>
      <c r="C53" s="3" t="s">
        <v>1042</v>
      </c>
      <c r="D53" s="3" t="s">
        <v>1141</v>
      </c>
      <c r="E53" s="3" t="s">
        <v>116</v>
      </c>
    </row>
    <row r="54" spans="1:5" ht="45" x14ac:dyDescent="0.25">
      <c r="A54" s="5" t="s">
        <v>92</v>
      </c>
      <c r="B54" s="3" t="s">
        <v>1142</v>
      </c>
      <c r="C54" s="3" t="s">
        <v>1042</v>
      </c>
      <c r="D54" s="3" t="s">
        <v>1143</v>
      </c>
      <c r="E54" s="3" t="s">
        <v>116</v>
      </c>
    </row>
    <row r="55" spans="1:5" ht="45" x14ac:dyDescent="0.25">
      <c r="A55" s="5" t="s">
        <v>92</v>
      </c>
      <c r="B55" s="3" t="s">
        <v>1144</v>
      </c>
      <c r="C55" s="3" t="s">
        <v>1042</v>
      </c>
      <c r="D55" s="3" t="s">
        <v>1145</v>
      </c>
      <c r="E55" s="3" t="s">
        <v>116</v>
      </c>
    </row>
    <row r="56" spans="1:5" ht="45" x14ac:dyDescent="0.25">
      <c r="A56" s="5" t="s">
        <v>92</v>
      </c>
      <c r="B56" s="3" t="s">
        <v>1146</v>
      </c>
      <c r="C56" s="3" t="s">
        <v>1042</v>
      </c>
      <c r="D56" s="3" t="s">
        <v>1147</v>
      </c>
      <c r="E56" s="3" t="s">
        <v>116</v>
      </c>
    </row>
    <row r="57" spans="1:5" ht="30" x14ac:dyDescent="0.25">
      <c r="A57" s="5" t="s">
        <v>92</v>
      </c>
      <c r="B57" s="3" t="s">
        <v>1148</v>
      </c>
      <c r="C57" s="3" t="s">
        <v>1057</v>
      </c>
      <c r="D57" s="3" t="s">
        <v>1149</v>
      </c>
      <c r="E57" s="3" t="s">
        <v>121</v>
      </c>
    </row>
    <row r="58" spans="1:5" x14ac:dyDescent="0.25">
      <c r="A58" s="5" t="s">
        <v>92</v>
      </c>
      <c r="B58" s="3" t="s">
        <v>1150</v>
      </c>
      <c r="C58" s="3" t="s">
        <v>1060</v>
      </c>
      <c r="D58" s="3" t="s">
        <v>1151</v>
      </c>
      <c r="E58" s="3" t="s">
        <v>121</v>
      </c>
    </row>
  </sheetData>
  <mergeCells count="2">
    <mergeCell ref="A1:E1"/>
    <mergeCell ref="A2:E2"/>
  </mergeCells>
  <conditionalFormatting sqref="A5:A58">
    <cfRule type="expression" dxfId="91" priority="1">
      <formula>A5="☑"</formula>
    </cfRule>
  </conditionalFormatting>
  <conditionalFormatting sqref="E5:E58">
    <cfRule type="expression" dxfId="90" priority="2">
      <formula>$E5="P0"</formula>
    </cfRule>
    <cfRule type="expression" dxfId="89" priority="3">
      <formula>$E5="P1"</formula>
    </cfRule>
    <cfRule type="expression" dxfId="88" priority="4">
      <formula>$E5="P2"</formula>
    </cfRule>
  </conditionalFormatting>
  <dataValidations count="1">
    <dataValidation type="list" sqref="A5:A58" xr:uid="{00000000-0002-0000-11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8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43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1152</v>
      </c>
      <c r="C5" s="3" t="s">
        <v>1153</v>
      </c>
      <c r="D5" s="3" t="s">
        <v>1154</v>
      </c>
      <c r="E5" s="3" t="s">
        <v>121</v>
      </c>
    </row>
    <row r="6" spans="1:5" ht="30" x14ac:dyDescent="0.25">
      <c r="A6" s="5" t="s">
        <v>92</v>
      </c>
      <c r="B6" s="3" t="s">
        <v>1155</v>
      </c>
      <c r="C6" s="3" t="s">
        <v>1153</v>
      </c>
      <c r="D6" s="3" t="s">
        <v>1156</v>
      </c>
      <c r="E6" s="3" t="s">
        <v>121</v>
      </c>
    </row>
    <row r="7" spans="1:5" ht="30" x14ac:dyDescent="0.25">
      <c r="A7" s="5" t="s">
        <v>92</v>
      </c>
      <c r="B7" s="3" t="s">
        <v>1157</v>
      </c>
      <c r="C7" s="3" t="s">
        <v>1158</v>
      </c>
      <c r="D7" s="3" t="s">
        <v>1159</v>
      </c>
      <c r="E7" s="3" t="s">
        <v>142</v>
      </c>
    </row>
    <row r="8" spans="1:5" ht="30" x14ac:dyDescent="0.25">
      <c r="A8" s="5" t="s">
        <v>92</v>
      </c>
      <c r="B8" s="3" t="s">
        <v>1160</v>
      </c>
      <c r="C8" s="3" t="s">
        <v>1153</v>
      </c>
      <c r="D8" s="3" t="s">
        <v>1161</v>
      </c>
      <c r="E8" s="3" t="s">
        <v>121</v>
      </c>
    </row>
    <row r="9" spans="1:5" ht="30" x14ac:dyDescent="0.25">
      <c r="A9" s="5" t="s">
        <v>92</v>
      </c>
      <c r="B9" s="3" t="s">
        <v>1162</v>
      </c>
      <c r="C9" s="3" t="s">
        <v>1153</v>
      </c>
      <c r="D9" s="3" t="s">
        <v>1163</v>
      </c>
      <c r="E9" s="3" t="s">
        <v>121</v>
      </c>
    </row>
    <row r="10" spans="1:5" ht="30" x14ac:dyDescent="0.25">
      <c r="A10" s="5" t="s">
        <v>92</v>
      </c>
      <c r="B10" s="3" t="s">
        <v>1164</v>
      </c>
      <c r="C10" s="3" t="s">
        <v>1158</v>
      </c>
      <c r="D10" s="3" t="s">
        <v>1165</v>
      </c>
      <c r="E10" s="3" t="s">
        <v>142</v>
      </c>
    </row>
    <row r="11" spans="1:5" ht="30" x14ac:dyDescent="0.25">
      <c r="A11" s="5" t="s">
        <v>92</v>
      </c>
      <c r="B11" s="3" t="s">
        <v>1166</v>
      </c>
      <c r="C11" s="3" t="s">
        <v>1153</v>
      </c>
      <c r="D11" s="3" t="s">
        <v>1167</v>
      </c>
      <c r="E11" s="3" t="s">
        <v>121</v>
      </c>
    </row>
    <row r="12" spans="1:5" x14ac:dyDescent="0.25">
      <c r="A12" s="5" t="s">
        <v>92</v>
      </c>
      <c r="B12" s="3" t="s">
        <v>1168</v>
      </c>
      <c r="C12" s="3" t="s">
        <v>1153</v>
      </c>
      <c r="D12" s="3" t="s">
        <v>1169</v>
      </c>
      <c r="E12" s="3" t="s">
        <v>121</v>
      </c>
    </row>
    <row r="13" spans="1:5" x14ac:dyDescent="0.25">
      <c r="A13" s="5" t="s">
        <v>92</v>
      </c>
      <c r="B13" s="3" t="s">
        <v>1170</v>
      </c>
      <c r="C13" s="3" t="s">
        <v>1158</v>
      </c>
      <c r="D13" s="3" t="s">
        <v>1171</v>
      </c>
      <c r="E13" s="3" t="s">
        <v>142</v>
      </c>
    </row>
    <row r="14" spans="1:5" ht="30" x14ac:dyDescent="0.25">
      <c r="A14" s="5" t="s">
        <v>92</v>
      </c>
      <c r="B14" s="3" t="s">
        <v>1172</v>
      </c>
      <c r="C14" s="3" t="s">
        <v>1153</v>
      </c>
      <c r="D14" s="3" t="s">
        <v>1173</v>
      </c>
      <c r="E14" s="3" t="s">
        <v>121</v>
      </c>
    </row>
    <row r="15" spans="1:5" x14ac:dyDescent="0.25">
      <c r="A15" s="5" t="s">
        <v>92</v>
      </c>
      <c r="B15" s="3" t="s">
        <v>1174</v>
      </c>
      <c r="C15" s="3" t="s">
        <v>1153</v>
      </c>
      <c r="D15" s="3" t="s">
        <v>1175</v>
      </c>
      <c r="E15" s="3" t="s">
        <v>121</v>
      </c>
    </row>
    <row r="16" spans="1:5" x14ac:dyDescent="0.25">
      <c r="A16" s="5" t="s">
        <v>92</v>
      </c>
      <c r="B16" s="3" t="s">
        <v>1176</v>
      </c>
      <c r="C16" s="3" t="s">
        <v>1158</v>
      </c>
      <c r="D16" s="3" t="s">
        <v>1177</v>
      </c>
      <c r="E16" s="3" t="s">
        <v>142</v>
      </c>
    </row>
    <row r="17" spans="1:5" ht="30" x14ac:dyDescent="0.25">
      <c r="A17" s="5" t="s">
        <v>92</v>
      </c>
      <c r="B17" s="3" t="s">
        <v>1178</v>
      </c>
      <c r="C17" s="3" t="s">
        <v>1153</v>
      </c>
      <c r="D17" s="3" t="s">
        <v>1179</v>
      </c>
      <c r="E17" s="3" t="s">
        <v>121</v>
      </c>
    </row>
    <row r="18" spans="1:5" x14ac:dyDescent="0.25">
      <c r="A18" s="5" t="s">
        <v>92</v>
      </c>
      <c r="B18" s="3" t="s">
        <v>1180</v>
      </c>
      <c r="C18" s="3" t="s">
        <v>1153</v>
      </c>
      <c r="D18" s="3" t="s">
        <v>1181</v>
      </c>
      <c r="E18" s="3" t="s">
        <v>121</v>
      </c>
    </row>
    <row r="19" spans="1:5" x14ac:dyDescent="0.25">
      <c r="A19" s="5" t="s">
        <v>92</v>
      </c>
      <c r="B19" s="3" t="s">
        <v>1182</v>
      </c>
      <c r="C19" s="3" t="s">
        <v>1158</v>
      </c>
      <c r="D19" s="3" t="s">
        <v>1183</v>
      </c>
      <c r="E19" s="3" t="s">
        <v>142</v>
      </c>
    </row>
    <row r="20" spans="1:5" ht="30" x14ac:dyDescent="0.25">
      <c r="A20" s="5" t="s">
        <v>92</v>
      </c>
      <c r="B20" s="3" t="s">
        <v>1184</v>
      </c>
      <c r="C20" s="3" t="s">
        <v>1153</v>
      </c>
      <c r="D20" s="3" t="s">
        <v>1185</v>
      </c>
      <c r="E20" s="3" t="s">
        <v>121</v>
      </c>
    </row>
    <row r="21" spans="1:5" ht="30" x14ac:dyDescent="0.25">
      <c r="A21" s="5" t="s">
        <v>92</v>
      </c>
      <c r="B21" s="3" t="s">
        <v>1186</v>
      </c>
      <c r="C21" s="3" t="s">
        <v>1153</v>
      </c>
      <c r="D21" s="3" t="s">
        <v>1187</v>
      </c>
      <c r="E21" s="3" t="s">
        <v>121</v>
      </c>
    </row>
    <row r="22" spans="1:5" ht="30" x14ac:dyDescent="0.25">
      <c r="A22" s="5" t="s">
        <v>92</v>
      </c>
      <c r="B22" s="3" t="s">
        <v>1188</v>
      </c>
      <c r="C22" s="3" t="s">
        <v>1158</v>
      </c>
      <c r="D22" s="3" t="s">
        <v>1189</v>
      </c>
      <c r="E22" s="3" t="s">
        <v>142</v>
      </c>
    </row>
    <row r="23" spans="1:5" ht="30" x14ac:dyDescent="0.25">
      <c r="A23" s="5" t="s">
        <v>92</v>
      </c>
      <c r="B23" s="3" t="s">
        <v>1190</v>
      </c>
      <c r="C23" s="3" t="s">
        <v>1153</v>
      </c>
      <c r="D23" s="3" t="s">
        <v>1191</v>
      </c>
      <c r="E23" s="3" t="s">
        <v>121</v>
      </c>
    </row>
    <row r="24" spans="1:5" x14ac:dyDescent="0.25">
      <c r="A24" s="5" t="s">
        <v>92</v>
      </c>
      <c r="B24" s="3" t="s">
        <v>1192</v>
      </c>
      <c r="C24" s="3" t="s">
        <v>1153</v>
      </c>
      <c r="D24" s="3" t="s">
        <v>1193</v>
      </c>
      <c r="E24" s="3" t="s">
        <v>121</v>
      </c>
    </row>
    <row r="25" spans="1:5" x14ac:dyDescent="0.25">
      <c r="A25" s="5" t="s">
        <v>92</v>
      </c>
      <c r="B25" s="3" t="s">
        <v>1194</v>
      </c>
      <c r="C25" s="3" t="s">
        <v>1158</v>
      </c>
      <c r="D25" s="3" t="s">
        <v>1195</v>
      </c>
      <c r="E25" s="3" t="s">
        <v>142</v>
      </c>
    </row>
    <row r="26" spans="1:5" ht="30" x14ac:dyDescent="0.25">
      <c r="A26" s="5" t="s">
        <v>92</v>
      </c>
      <c r="B26" s="3" t="s">
        <v>1196</v>
      </c>
      <c r="C26" s="3" t="s">
        <v>1153</v>
      </c>
      <c r="D26" s="3" t="s">
        <v>1197</v>
      </c>
      <c r="E26" s="3" t="s">
        <v>121</v>
      </c>
    </row>
    <row r="27" spans="1:5" x14ac:dyDescent="0.25">
      <c r="A27" s="5" t="s">
        <v>92</v>
      </c>
      <c r="B27" s="3" t="s">
        <v>1198</v>
      </c>
      <c r="C27" s="3" t="s">
        <v>1153</v>
      </c>
      <c r="D27" s="3" t="s">
        <v>1199</v>
      </c>
      <c r="E27" s="3" t="s">
        <v>121</v>
      </c>
    </row>
    <row r="28" spans="1:5" x14ac:dyDescent="0.25">
      <c r="A28" s="5" t="s">
        <v>92</v>
      </c>
      <c r="B28" s="3" t="s">
        <v>1200</v>
      </c>
      <c r="C28" s="3" t="s">
        <v>1158</v>
      </c>
      <c r="D28" s="3" t="s">
        <v>1201</v>
      </c>
      <c r="E28" s="3" t="s">
        <v>142</v>
      </c>
    </row>
  </sheetData>
  <mergeCells count="2">
    <mergeCell ref="A1:E1"/>
    <mergeCell ref="A2:E2"/>
  </mergeCells>
  <conditionalFormatting sqref="A5:A28">
    <cfRule type="expression" dxfId="87" priority="1">
      <formula>A5="☑"</formula>
    </cfRule>
  </conditionalFormatting>
  <conditionalFormatting sqref="E5:E28">
    <cfRule type="expression" dxfId="86" priority="2">
      <formula>$E5="P0"</formula>
    </cfRule>
    <cfRule type="expression" dxfId="85" priority="3">
      <formula>$E5="P1"</formula>
    </cfRule>
    <cfRule type="expression" dxfId="84" priority="4">
      <formula>$E5="P2"</formula>
    </cfRule>
  </conditionalFormatting>
  <dataValidations count="1">
    <dataValidation type="list" sqref="A5:A28" xr:uid="{00000000-0002-0000-12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0"/>
  <sheetViews>
    <sheetView topLeftCell="A60"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45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1202</v>
      </c>
      <c r="C5" s="3" t="s">
        <v>1203</v>
      </c>
      <c r="D5" s="3" t="s">
        <v>1204</v>
      </c>
      <c r="E5" s="3" t="s">
        <v>116</v>
      </c>
    </row>
    <row r="6" spans="1:5" ht="30" x14ac:dyDescent="0.25">
      <c r="A6" s="5" t="s">
        <v>92</v>
      </c>
      <c r="B6" s="3" t="s">
        <v>1205</v>
      </c>
      <c r="C6" s="3" t="s">
        <v>1203</v>
      </c>
      <c r="D6" s="3" t="s">
        <v>1206</v>
      </c>
      <c r="E6" s="3" t="s">
        <v>116</v>
      </c>
    </row>
    <row r="7" spans="1:5" ht="30" x14ac:dyDescent="0.25">
      <c r="A7" s="5" t="s">
        <v>92</v>
      </c>
      <c r="B7" s="3" t="s">
        <v>1207</v>
      </c>
      <c r="C7" s="3" t="s">
        <v>1203</v>
      </c>
      <c r="D7" s="3" t="s">
        <v>1208</v>
      </c>
      <c r="E7" s="3" t="s">
        <v>116</v>
      </c>
    </row>
    <row r="8" spans="1:5" x14ac:dyDescent="0.25">
      <c r="A8" s="5" t="s">
        <v>92</v>
      </c>
      <c r="B8" s="3" t="s">
        <v>1209</v>
      </c>
      <c r="C8" s="3" t="s">
        <v>1210</v>
      </c>
      <c r="D8" s="3" t="s">
        <v>1211</v>
      </c>
      <c r="E8" s="3" t="s">
        <v>121</v>
      </c>
    </row>
    <row r="9" spans="1:5" ht="30" x14ac:dyDescent="0.25">
      <c r="A9" s="5" t="s">
        <v>92</v>
      </c>
      <c r="B9" s="3" t="s">
        <v>1212</v>
      </c>
      <c r="C9" s="3" t="s">
        <v>1203</v>
      </c>
      <c r="D9" s="3" t="s">
        <v>1213</v>
      </c>
      <c r="E9" s="3" t="s">
        <v>116</v>
      </c>
    </row>
    <row r="10" spans="1:5" ht="30" x14ac:dyDescent="0.25">
      <c r="A10" s="5" t="s">
        <v>92</v>
      </c>
      <c r="B10" s="3" t="s">
        <v>1214</v>
      </c>
      <c r="C10" s="3" t="s">
        <v>1203</v>
      </c>
      <c r="D10" s="3" t="s">
        <v>1215</v>
      </c>
      <c r="E10" s="3" t="s">
        <v>116</v>
      </c>
    </row>
    <row r="11" spans="1:5" ht="30" x14ac:dyDescent="0.25">
      <c r="A11" s="5" t="s">
        <v>92</v>
      </c>
      <c r="B11" s="3" t="s">
        <v>1216</v>
      </c>
      <c r="C11" s="3" t="s">
        <v>1203</v>
      </c>
      <c r="D11" s="3" t="s">
        <v>1217</v>
      </c>
      <c r="E11" s="3" t="s">
        <v>116</v>
      </c>
    </row>
    <row r="12" spans="1:5" x14ac:dyDescent="0.25">
      <c r="A12" s="5" t="s">
        <v>92</v>
      </c>
      <c r="B12" s="3" t="s">
        <v>1218</v>
      </c>
      <c r="C12" s="3" t="s">
        <v>1210</v>
      </c>
      <c r="D12" s="3" t="s">
        <v>1219</v>
      </c>
      <c r="E12" s="3" t="s">
        <v>121</v>
      </c>
    </row>
    <row r="13" spans="1:5" ht="30" x14ac:dyDescent="0.25">
      <c r="A13" s="5" t="s">
        <v>92</v>
      </c>
      <c r="B13" s="3" t="s">
        <v>1220</v>
      </c>
      <c r="C13" s="3" t="s">
        <v>1203</v>
      </c>
      <c r="D13" s="3" t="s">
        <v>1221</v>
      </c>
      <c r="E13" s="3" t="s">
        <v>116</v>
      </c>
    </row>
    <row r="14" spans="1:5" ht="30" x14ac:dyDescent="0.25">
      <c r="A14" s="5" t="s">
        <v>92</v>
      </c>
      <c r="B14" s="3" t="s">
        <v>1222</v>
      </c>
      <c r="C14" s="3" t="s">
        <v>1203</v>
      </c>
      <c r="D14" s="3" t="s">
        <v>1223</v>
      </c>
      <c r="E14" s="3" t="s">
        <v>116</v>
      </c>
    </row>
    <row r="15" spans="1:5" ht="30" x14ac:dyDescent="0.25">
      <c r="A15" s="5" t="s">
        <v>92</v>
      </c>
      <c r="B15" s="3" t="s">
        <v>1224</v>
      </c>
      <c r="C15" s="3" t="s">
        <v>1203</v>
      </c>
      <c r="D15" s="3" t="s">
        <v>1225</v>
      </c>
      <c r="E15" s="3" t="s">
        <v>116</v>
      </c>
    </row>
    <row r="16" spans="1:5" x14ac:dyDescent="0.25">
      <c r="A16" s="5" t="s">
        <v>92</v>
      </c>
      <c r="B16" s="3" t="s">
        <v>1226</v>
      </c>
      <c r="C16" s="3" t="s">
        <v>1210</v>
      </c>
      <c r="D16" s="3" t="s">
        <v>1227</v>
      </c>
      <c r="E16" s="3" t="s">
        <v>121</v>
      </c>
    </row>
    <row r="17" spans="1:5" ht="30" x14ac:dyDescent="0.25">
      <c r="A17" s="5" t="s">
        <v>92</v>
      </c>
      <c r="B17" s="3" t="s">
        <v>1228</v>
      </c>
      <c r="C17" s="3" t="s">
        <v>1203</v>
      </c>
      <c r="D17" s="3" t="s">
        <v>1229</v>
      </c>
      <c r="E17" s="3" t="s">
        <v>116</v>
      </c>
    </row>
    <row r="18" spans="1:5" ht="45" x14ac:dyDescent="0.25">
      <c r="A18" s="5" t="s">
        <v>92</v>
      </c>
      <c r="B18" s="3" t="s">
        <v>1230</v>
      </c>
      <c r="C18" s="3" t="s">
        <v>1203</v>
      </c>
      <c r="D18" s="3" t="s">
        <v>1231</v>
      </c>
      <c r="E18" s="3" t="s">
        <v>116</v>
      </c>
    </row>
    <row r="19" spans="1:5" ht="30" x14ac:dyDescent="0.25">
      <c r="A19" s="5" t="s">
        <v>92</v>
      </c>
      <c r="B19" s="3" t="s">
        <v>1232</v>
      </c>
      <c r="C19" s="3" t="s">
        <v>1203</v>
      </c>
      <c r="D19" s="3" t="s">
        <v>1233</v>
      </c>
      <c r="E19" s="3" t="s">
        <v>116</v>
      </c>
    </row>
    <row r="20" spans="1:5" x14ac:dyDescent="0.25">
      <c r="A20" s="5" t="s">
        <v>92</v>
      </c>
      <c r="B20" s="3" t="s">
        <v>1234</v>
      </c>
      <c r="C20" s="3" t="s">
        <v>1210</v>
      </c>
      <c r="D20" s="3" t="s">
        <v>1235</v>
      </c>
      <c r="E20" s="3" t="s">
        <v>121</v>
      </c>
    </row>
    <row r="21" spans="1:5" ht="30" x14ac:dyDescent="0.25">
      <c r="A21" s="5" t="s">
        <v>92</v>
      </c>
      <c r="B21" s="3" t="s">
        <v>1236</v>
      </c>
      <c r="C21" s="3" t="s">
        <v>1203</v>
      </c>
      <c r="D21" s="3" t="s">
        <v>1237</v>
      </c>
      <c r="E21" s="3" t="s">
        <v>121</v>
      </c>
    </row>
    <row r="22" spans="1:5" ht="30" x14ac:dyDescent="0.25">
      <c r="A22" s="5" t="s">
        <v>92</v>
      </c>
      <c r="B22" s="3" t="s">
        <v>1238</v>
      </c>
      <c r="C22" s="3" t="s">
        <v>1203</v>
      </c>
      <c r="D22" s="3" t="s">
        <v>1239</v>
      </c>
      <c r="E22" s="3" t="s">
        <v>121</v>
      </c>
    </row>
    <row r="23" spans="1:5" ht="30" x14ac:dyDescent="0.25">
      <c r="A23" s="5" t="s">
        <v>92</v>
      </c>
      <c r="B23" s="3" t="s">
        <v>1240</v>
      </c>
      <c r="C23" s="3" t="s">
        <v>1203</v>
      </c>
      <c r="D23" s="3" t="s">
        <v>1241</v>
      </c>
      <c r="E23" s="3" t="s">
        <v>121</v>
      </c>
    </row>
    <row r="24" spans="1:5" x14ac:dyDescent="0.25">
      <c r="A24" s="5" t="s">
        <v>92</v>
      </c>
      <c r="B24" s="3" t="s">
        <v>1242</v>
      </c>
      <c r="C24" s="3" t="s">
        <v>1210</v>
      </c>
      <c r="D24" s="3" t="s">
        <v>1243</v>
      </c>
      <c r="E24" s="3" t="s">
        <v>121</v>
      </c>
    </row>
    <row r="25" spans="1:5" ht="30" x14ac:dyDescent="0.25">
      <c r="A25" s="5" t="s">
        <v>92</v>
      </c>
      <c r="B25" s="3" t="s">
        <v>1244</v>
      </c>
      <c r="C25" s="3" t="s">
        <v>1203</v>
      </c>
      <c r="D25" s="3" t="s">
        <v>1245</v>
      </c>
      <c r="E25" s="3" t="s">
        <v>121</v>
      </c>
    </row>
    <row r="26" spans="1:5" ht="30" x14ac:dyDescent="0.25">
      <c r="A26" s="5" t="s">
        <v>92</v>
      </c>
      <c r="B26" s="3" t="s">
        <v>1246</v>
      </c>
      <c r="C26" s="3" t="s">
        <v>1203</v>
      </c>
      <c r="D26" s="3" t="s">
        <v>1247</v>
      </c>
      <c r="E26" s="3" t="s">
        <v>121</v>
      </c>
    </row>
    <row r="27" spans="1:5" ht="30" x14ac:dyDescent="0.25">
      <c r="A27" s="5" t="s">
        <v>92</v>
      </c>
      <c r="B27" s="3" t="s">
        <v>1248</v>
      </c>
      <c r="C27" s="3" t="s">
        <v>1203</v>
      </c>
      <c r="D27" s="3" t="s">
        <v>1249</v>
      </c>
      <c r="E27" s="3" t="s">
        <v>121</v>
      </c>
    </row>
    <row r="28" spans="1:5" x14ac:dyDescent="0.25">
      <c r="A28" s="5" t="s">
        <v>92</v>
      </c>
      <c r="B28" s="3" t="s">
        <v>1250</v>
      </c>
      <c r="C28" s="3" t="s">
        <v>1210</v>
      </c>
      <c r="D28" s="3" t="s">
        <v>1251</v>
      </c>
      <c r="E28" s="3" t="s">
        <v>121</v>
      </c>
    </row>
    <row r="29" spans="1:5" ht="30" x14ac:dyDescent="0.25">
      <c r="A29" s="5" t="s">
        <v>92</v>
      </c>
      <c r="B29" s="3" t="s">
        <v>1252</v>
      </c>
      <c r="C29" s="3" t="s">
        <v>1203</v>
      </c>
      <c r="D29" s="3" t="s">
        <v>1253</v>
      </c>
      <c r="E29" s="3" t="s">
        <v>121</v>
      </c>
    </row>
    <row r="30" spans="1:5" ht="30" x14ac:dyDescent="0.25">
      <c r="A30" s="5" t="s">
        <v>92</v>
      </c>
      <c r="B30" s="3" t="s">
        <v>1254</v>
      </c>
      <c r="C30" s="3" t="s">
        <v>1203</v>
      </c>
      <c r="D30" s="3" t="s">
        <v>1255</v>
      </c>
      <c r="E30" s="3" t="s">
        <v>121</v>
      </c>
    </row>
    <row r="31" spans="1:5" ht="30" x14ac:dyDescent="0.25">
      <c r="A31" s="5" t="s">
        <v>92</v>
      </c>
      <c r="B31" s="3" t="s">
        <v>1256</v>
      </c>
      <c r="C31" s="3" t="s">
        <v>1203</v>
      </c>
      <c r="D31" s="3" t="s">
        <v>1257</v>
      </c>
      <c r="E31" s="3" t="s">
        <v>121</v>
      </c>
    </row>
    <row r="32" spans="1:5" x14ac:dyDescent="0.25">
      <c r="A32" s="5" t="s">
        <v>92</v>
      </c>
      <c r="B32" s="3" t="s">
        <v>1258</v>
      </c>
      <c r="C32" s="3" t="s">
        <v>1210</v>
      </c>
      <c r="D32" s="3" t="s">
        <v>1259</v>
      </c>
      <c r="E32" s="3" t="s">
        <v>121</v>
      </c>
    </row>
    <row r="33" spans="1:5" ht="30" x14ac:dyDescent="0.25">
      <c r="A33" s="5" t="s">
        <v>92</v>
      </c>
      <c r="B33" s="3" t="s">
        <v>1260</v>
      </c>
      <c r="C33" s="3" t="s">
        <v>1203</v>
      </c>
      <c r="D33" s="3" t="s">
        <v>1261</v>
      </c>
      <c r="E33" s="3" t="s">
        <v>121</v>
      </c>
    </row>
    <row r="34" spans="1:5" ht="30" x14ac:dyDescent="0.25">
      <c r="A34" s="5" t="s">
        <v>92</v>
      </c>
      <c r="B34" s="3" t="s">
        <v>1262</v>
      </c>
      <c r="C34" s="3" t="s">
        <v>1203</v>
      </c>
      <c r="D34" s="3" t="s">
        <v>1263</v>
      </c>
      <c r="E34" s="3" t="s">
        <v>121</v>
      </c>
    </row>
    <row r="35" spans="1:5" ht="30" x14ac:dyDescent="0.25">
      <c r="A35" s="5" t="s">
        <v>92</v>
      </c>
      <c r="B35" s="3" t="s">
        <v>1264</v>
      </c>
      <c r="C35" s="3" t="s">
        <v>1203</v>
      </c>
      <c r="D35" s="3" t="s">
        <v>1265</v>
      </c>
      <c r="E35" s="3" t="s">
        <v>121</v>
      </c>
    </row>
    <row r="36" spans="1:5" x14ac:dyDescent="0.25">
      <c r="A36" s="5" t="s">
        <v>92</v>
      </c>
      <c r="B36" s="3" t="s">
        <v>1266</v>
      </c>
      <c r="C36" s="3" t="s">
        <v>1210</v>
      </c>
      <c r="D36" s="3" t="s">
        <v>1267</v>
      </c>
      <c r="E36" s="3" t="s">
        <v>121</v>
      </c>
    </row>
    <row r="37" spans="1:5" ht="30" x14ac:dyDescent="0.25">
      <c r="A37" s="5" t="s">
        <v>92</v>
      </c>
      <c r="B37" s="3" t="s">
        <v>1268</v>
      </c>
      <c r="C37" s="3" t="s">
        <v>1203</v>
      </c>
      <c r="D37" s="3" t="s">
        <v>1269</v>
      </c>
      <c r="E37" s="3" t="s">
        <v>121</v>
      </c>
    </row>
    <row r="38" spans="1:5" ht="30" x14ac:dyDescent="0.25">
      <c r="A38" s="5" t="s">
        <v>92</v>
      </c>
      <c r="B38" s="3" t="s">
        <v>1270</v>
      </c>
      <c r="C38" s="3" t="s">
        <v>1203</v>
      </c>
      <c r="D38" s="3" t="s">
        <v>1271</v>
      </c>
      <c r="E38" s="3" t="s">
        <v>121</v>
      </c>
    </row>
    <row r="39" spans="1:5" ht="30" x14ac:dyDescent="0.25">
      <c r="A39" s="5" t="s">
        <v>92</v>
      </c>
      <c r="B39" s="3" t="s">
        <v>1272</v>
      </c>
      <c r="C39" s="3" t="s">
        <v>1203</v>
      </c>
      <c r="D39" s="3" t="s">
        <v>1273</v>
      </c>
      <c r="E39" s="3" t="s">
        <v>121</v>
      </c>
    </row>
    <row r="40" spans="1:5" x14ac:dyDescent="0.25">
      <c r="A40" s="5" t="s">
        <v>92</v>
      </c>
      <c r="B40" s="3" t="s">
        <v>1274</v>
      </c>
      <c r="C40" s="3" t="s">
        <v>1210</v>
      </c>
      <c r="D40" s="3" t="s">
        <v>1275</v>
      </c>
      <c r="E40" s="3" t="s">
        <v>121</v>
      </c>
    </row>
    <row r="41" spans="1:5" ht="30" x14ac:dyDescent="0.25">
      <c r="A41" s="5" t="s">
        <v>92</v>
      </c>
      <c r="B41" s="3" t="s">
        <v>1276</v>
      </c>
      <c r="C41" s="3" t="s">
        <v>1203</v>
      </c>
      <c r="D41" s="3" t="s">
        <v>1277</v>
      </c>
      <c r="E41" s="3" t="s">
        <v>121</v>
      </c>
    </row>
    <row r="42" spans="1:5" ht="30" x14ac:dyDescent="0.25">
      <c r="A42" s="5" t="s">
        <v>92</v>
      </c>
      <c r="B42" s="3" t="s">
        <v>1278</v>
      </c>
      <c r="C42" s="3" t="s">
        <v>1203</v>
      </c>
      <c r="D42" s="3" t="s">
        <v>1279</v>
      </c>
      <c r="E42" s="3" t="s">
        <v>121</v>
      </c>
    </row>
    <row r="43" spans="1:5" ht="30" x14ac:dyDescent="0.25">
      <c r="A43" s="5" t="s">
        <v>92</v>
      </c>
      <c r="B43" s="3" t="s">
        <v>1280</v>
      </c>
      <c r="C43" s="3" t="s">
        <v>1203</v>
      </c>
      <c r="D43" s="3" t="s">
        <v>1281</v>
      </c>
      <c r="E43" s="3" t="s">
        <v>121</v>
      </c>
    </row>
    <row r="44" spans="1:5" x14ac:dyDescent="0.25">
      <c r="A44" s="5" t="s">
        <v>92</v>
      </c>
      <c r="B44" s="3" t="s">
        <v>1282</v>
      </c>
      <c r="C44" s="3" t="s">
        <v>1210</v>
      </c>
      <c r="D44" s="3" t="s">
        <v>1283</v>
      </c>
      <c r="E44" s="3" t="s">
        <v>121</v>
      </c>
    </row>
    <row r="45" spans="1:5" ht="30" x14ac:dyDescent="0.25">
      <c r="A45" s="5" t="s">
        <v>92</v>
      </c>
      <c r="B45" s="3" t="s">
        <v>1284</v>
      </c>
      <c r="C45" s="3" t="s">
        <v>1203</v>
      </c>
      <c r="D45" s="3" t="s">
        <v>1285</v>
      </c>
      <c r="E45" s="3" t="s">
        <v>121</v>
      </c>
    </row>
    <row r="46" spans="1:5" ht="30" x14ac:dyDescent="0.25">
      <c r="A46" s="5" t="s">
        <v>92</v>
      </c>
      <c r="B46" s="3" t="s">
        <v>1286</v>
      </c>
      <c r="C46" s="3" t="s">
        <v>1203</v>
      </c>
      <c r="D46" s="3" t="s">
        <v>1287</v>
      </c>
      <c r="E46" s="3" t="s">
        <v>121</v>
      </c>
    </row>
    <row r="47" spans="1:5" ht="30" x14ac:dyDescent="0.25">
      <c r="A47" s="5" t="s">
        <v>92</v>
      </c>
      <c r="B47" s="3" t="s">
        <v>1288</v>
      </c>
      <c r="C47" s="3" t="s">
        <v>1203</v>
      </c>
      <c r="D47" s="3" t="s">
        <v>1289</v>
      </c>
      <c r="E47" s="3" t="s">
        <v>121</v>
      </c>
    </row>
    <row r="48" spans="1:5" x14ac:dyDescent="0.25">
      <c r="A48" s="5" t="s">
        <v>92</v>
      </c>
      <c r="B48" s="3" t="s">
        <v>1290</v>
      </c>
      <c r="C48" s="3" t="s">
        <v>1210</v>
      </c>
      <c r="D48" s="3" t="s">
        <v>1291</v>
      </c>
      <c r="E48" s="3" t="s">
        <v>121</v>
      </c>
    </row>
    <row r="49" spans="1:5" ht="30" x14ac:dyDescent="0.25">
      <c r="A49" s="5" t="s">
        <v>92</v>
      </c>
      <c r="B49" s="3" t="s">
        <v>1292</v>
      </c>
      <c r="C49" s="3" t="s">
        <v>1203</v>
      </c>
      <c r="D49" s="3" t="s">
        <v>1293</v>
      </c>
      <c r="E49" s="3" t="s">
        <v>116</v>
      </c>
    </row>
    <row r="50" spans="1:5" ht="30" x14ac:dyDescent="0.25">
      <c r="A50" s="5" t="s">
        <v>92</v>
      </c>
      <c r="B50" s="3" t="s">
        <v>1294</v>
      </c>
      <c r="C50" s="3" t="s">
        <v>1203</v>
      </c>
      <c r="D50" s="3" t="s">
        <v>1295</v>
      </c>
      <c r="E50" s="3" t="s">
        <v>116</v>
      </c>
    </row>
    <row r="51" spans="1:5" ht="30" x14ac:dyDescent="0.25">
      <c r="A51" s="5" t="s">
        <v>92</v>
      </c>
      <c r="B51" s="3" t="s">
        <v>1296</v>
      </c>
      <c r="C51" s="3" t="s">
        <v>1203</v>
      </c>
      <c r="D51" s="3" t="s">
        <v>1297</v>
      </c>
      <c r="E51" s="3" t="s">
        <v>116</v>
      </c>
    </row>
    <row r="52" spans="1:5" x14ac:dyDescent="0.25">
      <c r="A52" s="5" t="s">
        <v>92</v>
      </c>
      <c r="B52" s="3" t="s">
        <v>1298</v>
      </c>
      <c r="C52" s="3" t="s">
        <v>1210</v>
      </c>
      <c r="D52" s="3" t="s">
        <v>1299</v>
      </c>
      <c r="E52" s="3" t="s">
        <v>121</v>
      </c>
    </row>
    <row r="53" spans="1:5" ht="30" x14ac:dyDescent="0.25">
      <c r="A53" s="5" t="s">
        <v>92</v>
      </c>
      <c r="B53" s="3" t="s">
        <v>1300</v>
      </c>
      <c r="C53" s="3" t="s">
        <v>1203</v>
      </c>
      <c r="D53" s="3" t="s">
        <v>1301</v>
      </c>
      <c r="E53" s="3" t="s">
        <v>121</v>
      </c>
    </row>
    <row r="54" spans="1:5" ht="30" x14ac:dyDescent="0.25">
      <c r="A54" s="5" t="s">
        <v>92</v>
      </c>
      <c r="B54" s="3" t="s">
        <v>1302</v>
      </c>
      <c r="C54" s="3" t="s">
        <v>1203</v>
      </c>
      <c r="D54" s="3" t="s">
        <v>1303</v>
      </c>
      <c r="E54" s="3" t="s">
        <v>121</v>
      </c>
    </row>
    <row r="55" spans="1:5" ht="30" x14ac:dyDescent="0.25">
      <c r="A55" s="5" t="s">
        <v>92</v>
      </c>
      <c r="B55" s="3" t="s">
        <v>1304</v>
      </c>
      <c r="C55" s="3" t="s">
        <v>1203</v>
      </c>
      <c r="D55" s="3" t="s">
        <v>1305</v>
      </c>
      <c r="E55" s="3" t="s">
        <v>121</v>
      </c>
    </row>
    <row r="56" spans="1:5" x14ac:dyDescent="0.25">
      <c r="A56" s="5" t="s">
        <v>92</v>
      </c>
      <c r="B56" s="3" t="s">
        <v>1306</v>
      </c>
      <c r="C56" s="3" t="s">
        <v>1210</v>
      </c>
      <c r="D56" s="3" t="s">
        <v>1307</v>
      </c>
      <c r="E56" s="3" t="s">
        <v>121</v>
      </c>
    </row>
    <row r="57" spans="1:5" ht="30" x14ac:dyDescent="0.25">
      <c r="A57" s="5" t="s">
        <v>92</v>
      </c>
      <c r="B57" s="3" t="s">
        <v>1308</v>
      </c>
      <c r="C57" s="3" t="s">
        <v>1203</v>
      </c>
      <c r="D57" s="3" t="s">
        <v>1309</v>
      </c>
      <c r="E57" s="3" t="s">
        <v>121</v>
      </c>
    </row>
    <row r="58" spans="1:5" ht="30" x14ac:dyDescent="0.25">
      <c r="A58" s="5" t="s">
        <v>92</v>
      </c>
      <c r="B58" s="3" t="s">
        <v>1310</v>
      </c>
      <c r="C58" s="3" t="s">
        <v>1203</v>
      </c>
      <c r="D58" s="3" t="s">
        <v>1311</v>
      </c>
      <c r="E58" s="3" t="s">
        <v>121</v>
      </c>
    </row>
    <row r="59" spans="1:5" ht="30" x14ac:dyDescent="0.25">
      <c r="A59" s="5" t="s">
        <v>92</v>
      </c>
      <c r="B59" s="3" t="s">
        <v>1312</v>
      </c>
      <c r="C59" s="3" t="s">
        <v>1203</v>
      </c>
      <c r="D59" s="3" t="s">
        <v>1313</v>
      </c>
      <c r="E59" s="3" t="s">
        <v>121</v>
      </c>
    </row>
    <row r="60" spans="1:5" x14ac:dyDescent="0.25">
      <c r="A60" s="5" t="s">
        <v>92</v>
      </c>
      <c r="B60" s="3" t="s">
        <v>1314</v>
      </c>
      <c r="C60" s="3" t="s">
        <v>1210</v>
      </c>
      <c r="D60" s="3" t="s">
        <v>1315</v>
      </c>
      <c r="E60" s="3" t="s">
        <v>121</v>
      </c>
    </row>
    <row r="61" spans="1:5" ht="30" x14ac:dyDescent="0.25">
      <c r="A61" s="5" t="s">
        <v>92</v>
      </c>
      <c r="B61" s="3" t="s">
        <v>1316</v>
      </c>
      <c r="C61" s="3" t="s">
        <v>1203</v>
      </c>
      <c r="D61" s="3" t="s">
        <v>1317</v>
      </c>
      <c r="E61" s="3" t="s">
        <v>121</v>
      </c>
    </row>
    <row r="62" spans="1:5" ht="30" x14ac:dyDescent="0.25">
      <c r="A62" s="5" t="s">
        <v>92</v>
      </c>
      <c r="B62" s="3" t="s">
        <v>1318</v>
      </c>
      <c r="C62" s="3" t="s">
        <v>1203</v>
      </c>
      <c r="D62" s="3" t="s">
        <v>1319</v>
      </c>
      <c r="E62" s="3" t="s">
        <v>121</v>
      </c>
    </row>
    <row r="63" spans="1:5" ht="30" x14ac:dyDescent="0.25">
      <c r="A63" s="5" t="s">
        <v>92</v>
      </c>
      <c r="B63" s="3" t="s">
        <v>1320</v>
      </c>
      <c r="C63" s="3" t="s">
        <v>1203</v>
      </c>
      <c r="D63" s="3" t="s">
        <v>1321</v>
      </c>
      <c r="E63" s="3" t="s">
        <v>121</v>
      </c>
    </row>
    <row r="64" spans="1:5" x14ac:dyDescent="0.25">
      <c r="A64" s="5" t="s">
        <v>92</v>
      </c>
      <c r="B64" s="3" t="s">
        <v>1322</v>
      </c>
      <c r="C64" s="3" t="s">
        <v>1210</v>
      </c>
      <c r="D64" s="3" t="s">
        <v>1323</v>
      </c>
      <c r="E64" s="3" t="s">
        <v>121</v>
      </c>
    </row>
    <row r="65" spans="1:5" ht="30" x14ac:dyDescent="0.25">
      <c r="A65" s="5" t="s">
        <v>92</v>
      </c>
      <c r="B65" s="3" t="s">
        <v>1324</v>
      </c>
      <c r="C65" s="3" t="s">
        <v>1203</v>
      </c>
      <c r="D65" s="3" t="s">
        <v>1325</v>
      </c>
      <c r="E65" s="3" t="s">
        <v>121</v>
      </c>
    </row>
    <row r="66" spans="1:5" ht="45" x14ac:dyDescent="0.25">
      <c r="A66" s="5" t="s">
        <v>92</v>
      </c>
      <c r="B66" s="3" t="s">
        <v>1326</v>
      </c>
      <c r="C66" s="3" t="s">
        <v>1203</v>
      </c>
      <c r="D66" s="3" t="s">
        <v>1327</v>
      </c>
      <c r="E66" s="3" t="s">
        <v>121</v>
      </c>
    </row>
    <row r="67" spans="1:5" ht="30" x14ac:dyDescent="0.25">
      <c r="A67" s="5" t="s">
        <v>92</v>
      </c>
      <c r="B67" s="3" t="s">
        <v>1328</v>
      </c>
      <c r="C67" s="3" t="s">
        <v>1203</v>
      </c>
      <c r="D67" s="3" t="s">
        <v>1329</v>
      </c>
      <c r="E67" s="3" t="s">
        <v>121</v>
      </c>
    </row>
    <row r="68" spans="1:5" x14ac:dyDescent="0.25">
      <c r="A68" s="5" t="s">
        <v>92</v>
      </c>
      <c r="B68" s="3" t="s">
        <v>1330</v>
      </c>
      <c r="C68" s="3" t="s">
        <v>1210</v>
      </c>
      <c r="D68" s="3" t="s">
        <v>1331</v>
      </c>
      <c r="E68" s="3" t="s">
        <v>121</v>
      </c>
    </row>
    <row r="69" spans="1:5" ht="30" x14ac:dyDescent="0.25">
      <c r="A69" s="5" t="s">
        <v>92</v>
      </c>
      <c r="B69" s="3" t="s">
        <v>1332</v>
      </c>
      <c r="C69" s="3" t="s">
        <v>1203</v>
      </c>
      <c r="D69" s="3" t="s">
        <v>1333</v>
      </c>
      <c r="E69" s="3" t="s">
        <v>121</v>
      </c>
    </row>
    <row r="70" spans="1:5" ht="30" x14ac:dyDescent="0.25">
      <c r="A70" s="5" t="s">
        <v>92</v>
      </c>
      <c r="B70" s="3" t="s">
        <v>1334</v>
      </c>
      <c r="C70" s="3" t="s">
        <v>1203</v>
      </c>
      <c r="D70" s="3" t="s">
        <v>1335</v>
      </c>
      <c r="E70" s="3" t="s">
        <v>121</v>
      </c>
    </row>
    <row r="71" spans="1:5" ht="30" x14ac:dyDescent="0.25">
      <c r="A71" s="5" t="s">
        <v>92</v>
      </c>
      <c r="B71" s="3" t="s">
        <v>1336</v>
      </c>
      <c r="C71" s="3" t="s">
        <v>1203</v>
      </c>
      <c r="D71" s="3" t="s">
        <v>1337</v>
      </c>
      <c r="E71" s="3" t="s">
        <v>121</v>
      </c>
    </row>
    <row r="72" spans="1:5" x14ac:dyDescent="0.25">
      <c r="A72" s="5" t="s">
        <v>92</v>
      </c>
      <c r="B72" s="3" t="s">
        <v>1338</v>
      </c>
      <c r="C72" s="3" t="s">
        <v>1210</v>
      </c>
      <c r="D72" s="3" t="s">
        <v>1339</v>
      </c>
      <c r="E72" s="3" t="s">
        <v>121</v>
      </c>
    </row>
    <row r="73" spans="1:5" ht="30" x14ac:dyDescent="0.25">
      <c r="A73" s="5" t="s">
        <v>92</v>
      </c>
      <c r="B73" s="3" t="s">
        <v>1340</v>
      </c>
      <c r="C73" s="3" t="s">
        <v>1203</v>
      </c>
      <c r="D73" s="3" t="s">
        <v>1341</v>
      </c>
      <c r="E73" s="3" t="s">
        <v>121</v>
      </c>
    </row>
    <row r="74" spans="1:5" ht="45" x14ac:dyDescent="0.25">
      <c r="A74" s="5" t="s">
        <v>92</v>
      </c>
      <c r="B74" s="3" t="s">
        <v>1342</v>
      </c>
      <c r="C74" s="3" t="s">
        <v>1203</v>
      </c>
      <c r="D74" s="3" t="s">
        <v>1343</v>
      </c>
      <c r="E74" s="3" t="s">
        <v>121</v>
      </c>
    </row>
    <row r="75" spans="1:5" ht="30" x14ac:dyDescent="0.25">
      <c r="A75" s="5" t="s">
        <v>92</v>
      </c>
      <c r="B75" s="3" t="s">
        <v>1344</v>
      </c>
      <c r="C75" s="3" t="s">
        <v>1203</v>
      </c>
      <c r="D75" s="3" t="s">
        <v>1345</v>
      </c>
      <c r="E75" s="3" t="s">
        <v>121</v>
      </c>
    </row>
    <row r="76" spans="1:5" x14ac:dyDescent="0.25">
      <c r="A76" s="5" t="s">
        <v>92</v>
      </c>
      <c r="B76" s="3" t="s">
        <v>1346</v>
      </c>
      <c r="C76" s="3" t="s">
        <v>1210</v>
      </c>
      <c r="D76" s="3" t="s">
        <v>1347</v>
      </c>
      <c r="E76" s="3" t="s">
        <v>121</v>
      </c>
    </row>
    <row r="77" spans="1:5" ht="30" x14ac:dyDescent="0.25">
      <c r="A77" s="5" t="s">
        <v>92</v>
      </c>
      <c r="B77" s="3" t="s">
        <v>1348</v>
      </c>
      <c r="C77" s="3" t="s">
        <v>1203</v>
      </c>
      <c r="D77" s="3" t="s">
        <v>1349</v>
      </c>
      <c r="E77" s="3" t="s">
        <v>121</v>
      </c>
    </row>
    <row r="78" spans="1:5" ht="45" x14ac:dyDescent="0.25">
      <c r="A78" s="5" t="s">
        <v>92</v>
      </c>
      <c r="B78" s="3" t="s">
        <v>1350</v>
      </c>
      <c r="C78" s="3" t="s">
        <v>1203</v>
      </c>
      <c r="D78" s="3" t="s">
        <v>1351</v>
      </c>
      <c r="E78" s="3" t="s">
        <v>121</v>
      </c>
    </row>
    <row r="79" spans="1:5" ht="30" x14ac:dyDescent="0.25">
      <c r="A79" s="5" t="s">
        <v>92</v>
      </c>
      <c r="B79" s="3" t="s">
        <v>1352</v>
      </c>
      <c r="C79" s="3" t="s">
        <v>1203</v>
      </c>
      <c r="D79" s="3" t="s">
        <v>1353</v>
      </c>
      <c r="E79" s="3" t="s">
        <v>121</v>
      </c>
    </row>
    <row r="80" spans="1:5" x14ac:dyDescent="0.25">
      <c r="A80" s="5" t="s">
        <v>92</v>
      </c>
      <c r="B80" s="3" t="s">
        <v>1354</v>
      </c>
      <c r="C80" s="3" t="s">
        <v>1210</v>
      </c>
      <c r="D80" s="3" t="s">
        <v>1355</v>
      </c>
      <c r="E80" s="3" t="s">
        <v>121</v>
      </c>
    </row>
    <row r="81" spans="1:5" x14ac:dyDescent="0.25">
      <c r="A81" s="5" t="s">
        <v>92</v>
      </c>
      <c r="B81" s="3" t="s">
        <v>1356</v>
      </c>
      <c r="C81" s="3" t="s">
        <v>1203</v>
      </c>
      <c r="D81" s="3" t="s">
        <v>1357</v>
      </c>
      <c r="E81" s="3" t="s">
        <v>116</v>
      </c>
    </row>
    <row r="82" spans="1:5" x14ac:dyDescent="0.25">
      <c r="A82" s="5" t="s">
        <v>92</v>
      </c>
      <c r="B82" s="3" t="s">
        <v>1358</v>
      </c>
      <c r="C82" s="3" t="s">
        <v>1203</v>
      </c>
      <c r="D82" s="3" t="s">
        <v>1359</v>
      </c>
      <c r="E82" s="3" t="s">
        <v>116</v>
      </c>
    </row>
    <row r="83" spans="1:5" x14ac:dyDescent="0.25">
      <c r="A83" s="5" t="s">
        <v>92</v>
      </c>
      <c r="B83" s="3" t="s">
        <v>1360</v>
      </c>
      <c r="C83" s="3" t="s">
        <v>1203</v>
      </c>
      <c r="D83" s="3" t="s">
        <v>1361</v>
      </c>
      <c r="E83" s="3" t="s">
        <v>116</v>
      </c>
    </row>
    <row r="84" spans="1:5" x14ac:dyDescent="0.25">
      <c r="A84" s="5" t="s">
        <v>92</v>
      </c>
      <c r="B84" s="3" t="s">
        <v>1362</v>
      </c>
      <c r="C84" s="3" t="s">
        <v>1203</v>
      </c>
      <c r="D84" s="3" t="s">
        <v>1363</v>
      </c>
      <c r="E84" s="3" t="s">
        <v>121</v>
      </c>
    </row>
    <row r="85" spans="1:5" x14ac:dyDescent="0.25">
      <c r="A85" s="5" t="s">
        <v>92</v>
      </c>
      <c r="B85" s="3" t="s">
        <v>1364</v>
      </c>
      <c r="C85" s="3" t="s">
        <v>1203</v>
      </c>
      <c r="D85" s="3" t="s">
        <v>1365</v>
      </c>
      <c r="E85" s="3" t="s">
        <v>121</v>
      </c>
    </row>
    <row r="86" spans="1:5" x14ac:dyDescent="0.25">
      <c r="A86" s="5" t="s">
        <v>92</v>
      </c>
      <c r="B86" s="3" t="s">
        <v>1366</v>
      </c>
      <c r="C86" s="3" t="s">
        <v>1203</v>
      </c>
      <c r="D86" s="3" t="s">
        <v>1367</v>
      </c>
      <c r="E86" s="3" t="s">
        <v>116</v>
      </c>
    </row>
    <row r="87" spans="1:5" x14ac:dyDescent="0.25">
      <c r="A87" s="5" t="s">
        <v>92</v>
      </c>
      <c r="B87" s="3" t="s">
        <v>1368</v>
      </c>
      <c r="C87" s="3" t="s">
        <v>1203</v>
      </c>
      <c r="D87" s="3" t="s">
        <v>1369</v>
      </c>
      <c r="E87" s="3" t="s">
        <v>121</v>
      </c>
    </row>
    <row r="88" spans="1:5" x14ac:dyDescent="0.25">
      <c r="A88" s="5" t="s">
        <v>92</v>
      </c>
      <c r="B88" s="3" t="s">
        <v>1370</v>
      </c>
      <c r="C88" s="3" t="s">
        <v>1203</v>
      </c>
      <c r="D88" s="3" t="s">
        <v>1371</v>
      </c>
      <c r="E88" s="3" t="s">
        <v>121</v>
      </c>
    </row>
    <row r="89" spans="1:5" x14ac:dyDescent="0.25">
      <c r="A89" s="5" t="s">
        <v>92</v>
      </c>
      <c r="B89" s="3" t="s">
        <v>1372</v>
      </c>
      <c r="C89" s="3" t="s">
        <v>1203</v>
      </c>
      <c r="D89" s="3" t="s">
        <v>1373</v>
      </c>
      <c r="E89" s="3" t="s">
        <v>121</v>
      </c>
    </row>
    <row r="90" spans="1:5" x14ac:dyDescent="0.25">
      <c r="A90" s="5" t="s">
        <v>92</v>
      </c>
      <c r="B90" s="3" t="s">
        <v>1374</v>
      </c>
      <c r="C90" s="3" t="s">
        <v>1203</v>
      </c>
      <c r="D90" s="3" t="s">
        <v>1375</v>
      </c>
      <c r="E90" s="3" t="s">
        <v>121</v>
      </c>
    </row>
  </sheetData>
  <mergeCells count="2">
    <mergeCell ref="A1:E1"/>
    <mergeCell ref="A2:E2"/>
  </mergeCells>
  <conditionalFormatting sqref="A5:A90">
    <cfRule type="expression" dxfId="83" priority="1">
      <formula>A5="☑"</formula>
    </cfRule>
  </conditionalFormatting>
  <conditionalFormatting sqref="E5:E90">
    <cfRule type="expression" dxfId="82" priority="2">
      <formula>$E5="P0"</formula>
    </cfRule>
    <cfRule type="expression" dxfId="81" priority="3">
      <formula>$E5="P1"</formula>
    </cfRule>
    <cfRule type="expression" dxfId="80" priority="4">
      <formula>$E5="P2"</formula>
    </cfRule>
  </conditionalFormatting>
  <dataValidations count="1">
    <dataValidation type="list" sqref="A5:A90" xr:uid="{00000000-0002-0000-13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9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47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1376</v>
      </c>
      <c r="C5" s="3" t="s">
        <v>1377</v>
      </c>
      <c r="D5" s="3" t="s">
        <v>1378</v>
      </c>
      <c r="E5" s="3" t="s">
        <v>116</v>
      </c>
    </row>
    <row r="6" spans="1:5" x14ac:dyDescent="0.25">
      <c r="A6" s="5" t="s">
        <v>92</v>
      </c>
      <c r="B6" s="3" t="s">
        <v>1379</v>
      </c>
      <c r="C6" s="3" t="s">
        <v>1380</v>
      </c>
      <c r="D6" s="3" t="s">
        <v>1381</v>
      </c>
      <c r="E6" s="3" t="s">
        <v>121</v>
      </c>
    </row>
    <row r="7" spans="1:5" x14ac:dyDescent="0.25">
      <c r="A7" s="5" t="s">
        <v>92</v>
      </c>
      <c r="B7" s="3" t="s">
        <v>1382</v>
      </c>
      <c r="C7" s="3" t="s">
        <v>1380</v>
      </c>
      <c r="D7" s="3" t="s">
        <v>1383</v>
      </c>
      <c r="E7" s="3" t="s">
        <v>121</v>
      </c>
    </row>
    <row r="8" spans="1:5" ht="30" x14ac:dyDescent="0.25">
      <c r="A8" s="5" t="s">
        <v>92</v>
      </c>
      <c r="B8" s="3" t="s">
        <v>1384</v>
      </c>
      <c r="C8" s="3" t="s">
        <v>1377</v>
      </c>
      <c r="D8" s="3" t="s">
        <v>1385</v>
      </c>
      <c r="E8" s="3" t="s">
        <v>116</v>
      </c>
    </row>
    <row r="9" spans="1:5" x14ac:dyDescent="0.25">
      <c r="A9" s="5" t="s">
        <v>92</v>
      </c>
      <c r="B9" s="3" t="s">
        <v>1386</v>
      </c>
      <c r="C9" s="3" t="s">
        <v>1380</v>
      </c>
      <c r="D9" s="3" t="s">
        <v>1387</v>
      </c>
      <c r="E9" s="3" t="s">
        <v>121</v>
      </c>
    </row>
    <row r="10" spans="1:5" x14ac:dyDescent="0.25">
      <c r="A10" s="5" t="s">
        <v>92</v>
      </c>
      <c r="B10" s="3" t="s">
        <v>1388</v>
      </c>
      <c r="C10" s="3" t="s">
        <v>1380</v>
      </c>
      <c r="D10" s="3" t="s">
        <v>1389</v>
      </c>
      <c r="E10" s="3" t="s">
        <v>121</v>
      </c>
    </row>
    <row r="11" spans="1:5" ht="30" x14ac:dyDescent="0.25">
      <c r="A11" s="5" t="s">
        <v>92</v>
      </c>
      <c r="B11" s="3" t="s">
        <v>1390</v>
      </c>
      <c r="C11" s="3" t="s">
        <v>1377</v>
      </c>
      <c r="D11" s="3" t="s">
        <v>1391</v>
      </c>
      <c r="E11" s="3" t="s">
        <v>116</v>
      </c>
    </row>
    <row r="12" spans="1:5" x14ac:dyDescent="0.25">
      <c r="A12" s="5" t="s">
        <v>92</v>
      </c>
      <c r="B12" s="3" t="s">
        <v>1392</v>
      </c>
      <c r="C12" s="3" t="s">
        <v>1380</v>
      </c>
      <c r="D12" s="3" t="s">
        <v>1393</v>
      </c>
      <c r="E12" s="3" t="s">
        <v>121</v>
      </c>
    </row>
    <row r="13" spans="1:5" x14ac:dyDescent="0.25">
      <c r="A13" s="5" t="s">
        <v>92</v>
      </c>
      <c r="B13" s="3" t="s">
        <v>1394</v>
      </c>
      <c r="C13" s="3" t="s">
        <v>1380</v>
      </c>
      <c r="D13" s="3" t="s">
        <v>1395</v>
      </c>
      <c r="E13" s="3" t="s">
        <v>121</v>
      </c>
    </row>
    <row r="14" spans="1:5" ht="30" x14ac:dyDescent="0.25">
      <c r="A14" s="5" t="s">
        <v>92</v>
      </c>
      <c r="B14" s="3" t="s">
        <v>1396</v>
      </c>
      <c r="C14" s="3" t="s">
        <v>1377</v>
      </c>
      <c r="D14" s="3" t="s">
        <v>1397</v>
      </c>
      <c r="E14" s="3" t="s">
        <v>116</v>
      </c>
    </row>
    <row r="15" spans="1:5" x14ac:dyDescent="0.25">
      <c r="A15" s="5" t="s">
        <v>92</v>
      </c>
      <c r="B15" s="3" t="s">
        <v>1398</v>
      </c>
      <c r="C15" s="3" t="s">
        <v>1380</v>
      </c>
      <c r="D15" s="3" t="s">
        <v>1399</v>
      </c>
      <c r="E15" s="3" t="s">
        <v>121</v>
      </c>
    </row>
    <row r="16" spans="1:5" x14ac:dyDescent="0.25">
      <c r="A16" s="5" t="s">
        <v>92</v>
      </c>
      <c r="B16" s="3" t="s">
        <v>1400</v>
      </c>
      <c r="C16" s="3" t="s">
        <v>1380</v>
      </c>
      <c r="D16" s="3" t="s">
        <v>1401</v>
      </c>
      <c r="E16" s="3" t="s">
        <v>121</v>
      </c>
    </row>
    <row r="17" spans="1:5" ht="30" x14ac:dyDescent="0.25">
      <c r="A17" s="5" t="s">
        <v>92</v>
      </c>
      <c r="B17" s="3" t="s">
        <v>1402</v>
      </c>
      <c r="C17" s="3" t="s">
        <v>1377</v>
      </c>
      <c r="D17" s="3" t="s">
        <v>1403</v>
      </c>
      <c r="E17" s="3" t="s">
        <v>121</v>
      </c>
    </row>
    <row r="18" spans="1:5" ht="30" x14ac:dyDescent="0.25">
      <c r="A18" s="5" t="s">
        <v>92</v>
      </c>
      <c r="B18" s="3" t="s">
        <v>1404</v>
      </c>
      <c r="C18" s="3" t="s">
        <v>1380</v>
      </c>
      <c r="D18" s="3" t="s">
        <v>1405</v>
      </c>
      <c r="E18" s="3" t="s">
        <v>121</v>
      </c>
    </row>
    <row r="19" spans="1:5" x14ac:dyDescent="0.25">
      <c r="A19" s="5" t="s">
        <v>92</v>
      </c>
      <c r="B19" s="3" t="s">
        <v>1406</v>
      </c>
      <c r="C19" s="3" t="s">
        <v>1380</v>
      </c>
      <c r="D19" s="3" t="s">
        <v>1407</v>
      </c>
      <c r="E19" s="3" t="s">
        <v>121</v>
      </c>
    </row>
    <row r="20" spans="1:5" ht="30" x14ac:dyDescent="0.25">
      <c r="A20" s="5" t="s">
        <v>92</v>
      </c>
      <c r="B20" s="3" t="s">
        <v>1408</v>
      </c>
      <c r="C20" s="3" t="s">
        <v>1377</v>
      </c>
      <c r="D20" s="3" t="s">
        <v>1409</v>
      </c>
      <c r="E20" s="3" t="s">
        <v>121</v>
      </c>
    </row>
    <row r="21" spans="1:5" ht="30" x14ac:dyDescent="0.25">
      <c r="A21" s="5" t="s">
        <v>92</v>
      </c>
      <c r="B21" s="3" t="s">
        <v>1410</v>
      </c>
      <c r="C21" s="3" t="s">
        <v>1380</v>
      </c>
      <c r="D21" s="3" t="s">
        <v>1411</v>
      </c>
      <c r="E21" s="3" t="s">
        <v>121</v>
      </c>
    </row>
    <row r="22" spans="1:5" x14ac:dyDescent="0.25">
      <c r="A22" s="5" t="s">
        <v>92</v>
      </c>
      <c r="B22" s="3" t="s">
        <v>1412</v>
      </c>
      <c r="C22" s="3" t="s">
        <v>1380</v>
      </c>
      <c r="D22" s="3" t="s">
        <v>1413</v>
      </c>
      <c r="E22" s="3" t="s">
        <v>121</v>
      </c>
    </row>
    <row r="23" spans="1:5" ht="30" x14ac:dyDescent="0.25">
      <c r="A23" s="5" t="s">
        <v>92</v>
      </c>
      <c r="B23" s="3" t="s">
        <v>1414</v>
      </c>
      <c r="C23" s="3" t="s">
        <v>1377</v>
      </c>
      <c r="D23" s="3" t="s">
        <v>1415</v>
      </c>
      <c r="E23" s="3" t="s">
        <v>121</v>
      </c>
    </row>
    <row r="24" spans="1:5" x14ac:dyDescent="0.25">
      <c r="A24" s="5" t="s">
        <v>92</v>
      </c>
      <c r="B24" s="3" t="s">
        <v>1416</v>
      </c>
      <c r="C24" s="3" t="s">
        <v>1380</v>
      </c>
      <c r="D24" s="3" t="s">
        <v>1417</v>
      </c>
      <c r="E24" s="3" t="s">
        <v>121</v>
      </c>
    </row>
    <row r="25" spans="1:5" x14ac:dyDescent="0.25">
      <c r="A25" s="5" t="s">
        <v>92</v>
      </c>
      <c r="B25" s="3" t="s">
        <v>1418</v>
      </c>
      <c r="C25" s="3" t="s">
        <v>1380</v>
      </c>
      <c r="D25" s="3" t="s">
        <v>1419</v>
      </c>
      <c r="E25" s="3" t="s">
        <v>121</v>
      </c>
    </row>
    <row r="26" spans="1:5" ht="30" x14ac:dyDescent="0.25">
      <c r="A26" s="5" t="s">
        <v>92</v>
      </c>
      <c r="B26" s="3" t="s">
        <v>1420</v>
      </c>
      <c r="C26" s="3" t="s">
        <v>1377</v>
      </c>
      <c r="D26" s="3" t="s">
        <v>1421</v>
      </c>
      <c r="E26" s="3" t="s">
        <v>121</v>
      </c>
    </row>
    <row r="27" spans="1:5" ht="30" x14ac:dyDescent="0.25">
      <c r="A27" s="5" t="s">
        <v>92</v>
      </c>
      <c r="B27" s="3" t="s">
        <v>1422</v>
      </c>
      <c r="C27" s="3" t="s">
        <v>1380</v>
      </c>
      <c r="D27" s="3" t="s">
        <v>1423</v>
      </c>
      <c r="E27" s="3" t="s">
        <v>121</v>
      </c>
    </row>
    <row r="28" spans="1:5" x14ac:dyDescent="0.25">
      <c r="A28" s="5" t="s">
        <v>92</v>
      </c>
      <c r="B28" s="3" t="s">
        <v>1424</v>
      </c>
      <c r="C28" s="3" t="s">
        <v>1380</v>
      </c>
      <c r="D28" s="3" t="s">
        <v>1425</v>
      </c>
      <c r="E28" s="3" t="s">
        <v>121</v>
      </c>
    </row>
    <row r="29" spans="1:5" ht="30" x14ac:dyDescent="0.25">
      <c r="A29" s="5" t="s">
        <v>92</v>
      </c>
      <c r="B29" s="3" t="s">
        <v>1426</v>
      </c>
      <c r="C29" s="3" t="s">
        <v>1377</v>
      </c>
      <c r="D29" s="3" t="s">
        <v>1427</v>
      </c>
      <c r="E29" s="3" t="s">
        <v>121</v>
      </c>
    </row>
    <row r="30" spans="1:5" x14ac:dyDescent="0.25">
      <c r="A30" s="5" t="s">
        <v>92</v>
      </c>
      <c r="B30" s="3" t="s">
        <v>1428</v>
      </c>
      <c r="C30" s="3" t="s">
        <v>1380</v>
      </c>
      <c r="D30" s="3" t="s">
        <v>1429</v>
      </c>
      <c r="E30" s="3" t="s">
        <v>121</v>
      </c>
    </row>
    <row r="31" spans="1:5" x14ac:dyDescent="0.25">
      <c r="A31" s="5" t="s">
        <v>92</v>
      </c>
      <c r="B31" s="3" t="s">
        <v>1430</v>
      </c>
      <c r="C31" s="3" t="s">
        <v>1380</v>
      </c>
      <c r="D31" s="3" t="s">
        <v>1431</v>
      </c>
      <c r="E31" s="3" t="s">
        <v>121</v>
      </c>
    </row>
    <row r="32" spans="1:5" ht="30" x14ac:dyDescent="0.25">
      <c r="A32" s="5" t="s">
        <v>92</v>
      </c>
      <c r="B32" s="3" t="s">
        <v>1432</v>
      </c>
      <c r="C32" s="3" t="s">
        <v>1377</v>
      </c>
      <c r="D32" s="3" t="s">
        <v>1433</v>
      </c>
      <c r="E32" s="3" t="s">
        <v>121</v>
      </c>
    </row>
    <row r="33" spans="1:5" x14ac:dyDescent="0.25">
      <c r="A33" s="5" t="s">
        <v>92</v>
      </c>
      <c r="B33" s="3" t="s">
        <v>1434</v>
      </c>
      <c r="C33" s="3" t="s">
        <v>1380</v>
      </c>
      <c r="D33" s="3" t="s">
        <v>1435</v>
      </c>
      <c r="E33" s="3" t="s">
        <v>121</v>
      </c>
    </row>
    <row r="34" spans="1:5" x14ac:dyDescent="0.25">
      <c r="A34" s="5" t="s">
        <v>92</v>
      </c>
      <c r="B34" s="3" t="s">
        <v>1436</v>
      </c>
      <c r="C34" s="3" t="s">
        <v>1380</v>
      </c>
      <c r="D34" s="3" t="s">
        <v>1437</v>
      </c>
      <c r="E34" s="3" t="s">
        <v>121</v>
      </c>
    </row>
    <row r="35" spans="1:5" ht="30" x14ac:dyDescent="0.25">
      <c r="A35" s="5" t="s">
        <v>92</v>
      </c>
      <c r="B35" s="3" t="s">
        <v>1438</v>
      </c>
      <c r="C35" s="3" t="s">
        <v>1377</v>
      </c>
      <c r="D35" s="3" t="s">
        <v>1439</v>
      </c>
      <c r="E35" s="3" t="s">
        <v>121</v>
      </c>
    </row>
    <row r="36" spans="1:5" ht="30" x14ac:dyDescent="0.25">
      <c r="A36" s="5" t="s">
        <v>92</v>
      </c>
      <c r="B36" s="3" t="s">
        <v>1440</v>
      </c>
      <c r="C36" s="3" t="s">
        <v>1380</v>
      </c>
      <c r="D36" s="3" t="s">
        <v>1441</v>
      </c>
      <c r="E36" s="3" t="s">
        <v>121</v>
      </c>
    </row>
    <row r="37" spans="1:5" x14ac:dyDescent="0.25">
      <c r="A37" s="5" t="s">
        <v>92</v>
      </c>
      <c r="B37" s="3" t="s">
        <v>1442</v>
      </c>
      <c r="C37" s="3" t="s">
        <v>1380</v>
      </c>
      <c r="D37" s="3" t="s">
        <v>1443</v>
      </c>
      <c r="E37" s="3" t="s">
        <v>121</v>
      </c>
    </row>
    <row r="38" spans="1:5" ht="30" x14ac:dyDescent="0.25">
      <c r="A38" s="5" t="s">
        <v>92</v>
      </c>
      <c r="B38" s="3" t="s">
        <v>1444</v>
      </c>
      <c r="C38" s="3" t="s">
        <v>1377</v>
      </c>
      <c r="D38" s="3" t="s">
        <v>1445</v>
      </c>
      <c r="E38" s="3" t="s">
        <v>121</v>
      </c>
    </row>
    <row r="39" spans="1:5" ht="30" x14ac:dyDescent="0.25">
      <c r="A39" s="5" t="s">
        <v>92</v>
      </c>
      <c r="B39" s="3" t="s">
        <v>1446</v>
      </c>
      <c r="C39" s="3" t="s">
        <v>1380</v>
      </c>
      <c r="D39" s="3" t="s">
        <v>1447</v>
      </c>
      <c r="E39" s="3" t="s">
        <v>121</v>
      </c>
    </row>
    <row r="40" spans="1:5" x14ac:dyDescent="0.25">
      <c r="A40" s="5" t="s">
        <v>92</v>
      </c>
      <c r="B40" s="3" t="s">
        <v>1448</v>
      </c>
      <c r="C40" s="3" t="s">
        <v>1380</v>
      </c>
      <c r="D40" s="3" t="s">
        <v>1449</v>
      </c>
      <c r="E40" s="3" t="s">
        <v>121</v>
      </c>
    </row>
    <row r="41" spans="1:5" ht="30" x14ac:dyDescent="0.25">
      <c r="A41" s="5" t="s">
        <v>92</v>
      </c>
      <c r="B41" s="3" t="s">
        <v>1450</v>
      </c>
      <c r="C41" s="3" t="s">
        <v>1377</v>
      </c>
      <c r="D41" s="3" t="s">
        <v>1451</v>
      </c>
      <c r="E41" s="3" t="s">
        <v>121</v>
      </c>
    </row>
    <row r="42" spans="1:5" ht="30" x14ac:dyDescent="0.25">
      <c r="A42" s="5" t="s">
        <v>92</v>
      </c>
      <c r="B42" s="3" t="s">
        <v>1452</v>
      </c>
      <c r="C42" s="3" t="s">
        <v>1380</v>
      </c>
      <c r="D42" s="3" t="s">
        <v>1453</v>
      </c>
      <c r="E42" s="3" t="s">
        <v>121</v>
      </c>
    </row>
    <row r="43" spans="1:5" x14ac:dyDescent="0.25">
      <c r="A43" s="5" t="s">
        <v>92</v>
      </c>
      <c r="B43" s="3" t="s">
        <v>1454</v>
      </c>
      <c r="C43" s="3" t="s">
        <v>1380</v>
      </c>
      <c r="D43" s="3" t="s">
        <v>1455</v>
      </c>
      <c r="E43" s="3" t="s">
        <v>121</v>
      </c>
    </row>
    <row r="44" spans="1:5" ht="30" x14ac:dyDescent="0.25">
      <c r="A44" s="5" t="s">
        <v>92</v>
      </c>
      <c r="B44" s="3" t="s">
        <v>1456</v>
      </c>
      <c r="C44" s="3" t="s">
        <v>1377</v>
      </c>
      <c r="D44" s="3" t="s">
        <v>1457</v>
      </c>
      <c r="E44" s="3" t="s">
        <v>121</v>
      </c>
    </row>
    <row r="45" spans="1:5" x14ac:dyDescent="0.25">
      <c r="A45" s="5" t="s">
        <v>92</v>
      </c>
      <c r="B45" s="3" t="s">
        <v>1458</v>
      </c>
      <c r="C45" s="3" t="s">
        <v>1380</v>
      </c>
      <c r="D45" s="3" t="s">
        <v>1459</v>
      </c>
      <c r="E45" s="3" t="s">
        <v>121</v>
      </c>
    </row>
    <row r="46" spans="1:5" x14ac:dyDescent="0.25">
      <c r="A46" s="5" t="s">
        <v>92</v>
      </c>
      <c r="B46" s="3" t="s">
        <v>1460</v>
      </c>
      <c r="C46" s="3" t="s">
        <v>1380</v>
      </c>
      <c r="D46" s="3" t="s">
        <v>1461</v>
      </c>
      <c r="E46" s="3" t="s">
        <v>121</v>
      </c>
    </row>
    <row r="47" spans="1:5" ht="30" x14ac:dyDescent="0.25">
      <c r="A47" s="5" t="s">
        <v>92</v>
      </c>
      <c r="B47" s="3" t="s">
        <v>1462</v>
      </c>
      <c r="C47" s="3" t="s">
        <v>1377</v>
      </c>
      <c r="D47" s="3" t="s">
        <v>1463</v>
      </c>
      <c r="E47" s="3" t="s">
        <v>121</v>
      </c>
    </row>
    <row r="48" spans="1:5" ht="30" x14ac:dyDescent="0.25">
      <c r="A48" s="5" t="s">
        <v>92</v>
      </c>
      <c r="B48" s="3" t="s">
        <v>1464</v>
      </c>
      <c r="C48" s="3" t="s">
        <v>1380</v>
      </c>
      <c r="D48" s="3" t="s">
        <v>1465</v>
      </c>
      <c r="E48" s="3" t="s">
        <v>121</v>
      </c>
    </row>
    <row r="49" spans="1:5" x14ac:dyDescent="0.25">
      <c r="A49" s="5" t="s">
        <v>92</v>
      </c>
      <c r="B49" s="3" t="s">
        <v>1466</v>
      </c>
      <c r="C49" s="3" t="s">
        <v>1380</v>
      </c>
      <c r="D49" s="3" t="s">
        <v>1467</v>
      </c>
      <c r="E49" s="3" t="s">
        <v>121</v>
      </c>
    </row>
  </sheetData>
  <mergeCells count="2">
    <mergeCell ref="A1:E1"/>
    <mergeCell ref="A2:E2"/>
  </mergeCells>
  <conditionalFormatting sqref="A5:A49">
    <cfRule type="expression" dxfId="79" priority="1">
      <formula>A5="☑"</formula>
    </cfRule>
  </conditionalFormatting>
  <conditionalFormatting sqref="E5:E49">
    <cfRule type="expression" dxfId="78" priority="2">
      <formula>$E5="P0"</formula>
    </cfRule>
    <cfRule type="expression" dxfId="77" priority="3">
      <formula>$E5="P1"</formula>
    </cfRule>
    <cfRule type="expression" dxfId="76" priority="4">
      <formula>$E5="P2"</formula>
    </cfRule>
  </conditionalFormatting>
  <dataValidations count="1">
    <dataValidation type="list" sqref="A5:A49" xr:uid="{00000000-0002-0000-14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6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49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1468</v>
      </c>
      <c r="C5" s="3" t="s">
        <v>1469</v>
      </c>
      <c r="D5" s="3" t="s">
        <v>1470</v>
      </c>
      <c r="E5" s="3" t="s">
        <v>116</v>
      </c>
    </row>
    <row r="6" spans="1:5" x14ac:dyDescent="0.25">
      <c r="A6" s="5" t="s">
        <v>92</v>
      </c>
      <c r="B6" s="3" t="s">
        <v>1471</v>
      </c>
      <c r="C6" s="3" t="s">
        <v>1469</v>
      </c>
      <c r="D6" s="3" t="s">
        <v>1472</v>
      </c>
      <c r="E6" s="3" t="s">
        <v>116</v>
      </c>
    </row>
    <row r="7" spans="1:5" x14ac:dyDescent="0.25">
      <c r="A7" s="5" t="s">
        <v>92</v>
      </c>
      <c r="B7" s="3" t="s">
        <v>1473</v>
      </c>
      <c r="C7" s="3" t="s">
        <v>1469</v>
      </c>
      <c r="D7" s="3" t="s">
        <v>1474</v>
      </c>
      <c r="E7" s="3" t="s">
        <v>116</v>
      </c>
    </row>
    <row r="8" spans="1:5" x14ac:dyDescent="0.25">
      <c r="A8" s="5" t="s">
        <v>92</v>
      </c>
      <c r="B8" s="3" t="s">
        <v>1475</v>
      </c>
      <c r="C8" s="3" t="s">
        <v>1469</v>
      </c>
      <c r="D8" s="3" t="s">
        <v>1476</v>
      </c>
      <c r="E8" s="3" t="s">
        <v>116</v>
      </c>
    </row>
    <row r="9" spans="1:5" x14ac:dyDescent="0.25">
      <c r="A9" s="5" t="s">
        <v>92</v>
      </c>
      <c r="B9" s="3" t="s">
        <v>1477</v>
      </c>
      <c r="C9" s="3" t="s">
        <v>1469</v>
      </c>
      <c r="D9" s="3" t="s">
        <v>1478</v>
      </c>
      <c r="E9" s="3" t="s">
        <v>116</v>
      </c>
    </row>
    <row r="10" spans="1:5" x14ac:dyDescent="0.25">
      <c r="A10" s="5" t="s">
        <v>92</v>
      </c>
      <c r="B10" s="3" t="s">
        <v>1479</v>
      </c>
      <c r="C10" s="3" t="s">
        <v>1469</v>
      </c>
      <c r="D10" s="3" t="s">
        <v>1480</v>
      </c>
      <c r="E10" s="3" t="s">
        <v>121</v>
      </c>
    </row>
    <row r="11" spans="1:5" x14ac:dyDescent="0.25">
      <c r="A11" s="5" t="s">
        <v>92</v>
      </c>
      <c r="B11" s="3" t="s">
        <v>1481</v>
      </c>
      <c r="C11" s="3" t="s">
        <v>1469</v>
      </c>
      <c r="D11" s="3" t="s">
        <v>1482</v>
      </c>
      <c r="E11" s="3" t="s">
        <v>121</v>
      </c>
    </row>
    <row r="12" spans="1:5" x14ac:dyDescent="0.25">
      <c r="A12" s="5" t="s">
        <v>92</v>
      </c>
      <c r="B12" s="3" t="s">
        <v>1483</v>
      </c>
      <c r="C12" s="3" t="s">
        <v>1469</v>
      </c>
      <c r="D12" s="3" t="s">
        <v>1484</v>
      </c>
      <c r="E12" s="3" t="s">
        <v>121</v>
      </c>
    </row>
    <row r="13" spans="1:5" x14ac:dyDescent="0.25">
      <c r="A13" s="5" t="s">
        <v>92</v>
      </c>
      <c r="B13" s="3" t="s">
        <v>1485</v>
      </c>
      <c r="C13" s="3" t="s">
        <v>1469</v>
      </c>
      <c r="D13" s="3" t="s">
        <v>1486</v>
      </c>
      <c r="E13" s="3" t="s">
        <v>121</v>
      </c>
    </row>
    <row r="14" spans="1:5" x14ac:dyDescent="0.25">
      <c r="A14" s="5" t="s">
        <v>92</v>
      </c>
      <c r="B14" s="3" t="s">
        <v>1487</v>
      </c>
      <c r="C14" s="3" t="s">
        <v>1469</v>
      </c>
      <c r="D14" s="3" t="s">
        <v>1488</v>
      </c>
      <c r="E14" s="3" t="s">
        <v>121</v>
      </c>
    </row>
    <row r="15" spans="1:5" ht="30" x14ac:dyDescent="0.25">
      <c r="A15" s="5" t="s">
        <v>92</v>
      </c>
      <c r="B15" s="3" t="s">
        <v>1489</v>
      </c>
      <c r="C15" s="3" t="s">
        <v>1469</v>
      </c>
      <c r="D15" s="3" t="s">
        <v>1490</v>
      </c>
      <c r="E15" s="3" t="s">
        <v>121</v>
      </c>
    </row>
    <row r="16" spans="1:5" ht="30" x14ac:dyDescent="0.25">
      <c r="A16" s="5" t="s">
        <v>92</v>
      </c>
      <c r="B16" s="3" t="s">
        <v>1491</v>
      </c>
      <c r="C16" s="3" t="s">
        <v>1469</v>
      </c>
      <c r="D16" s="3" t="s">
        <v>1492</v>
      </c>
      <c r="E16" s="3" t="s">
        <v>121</v>
      </c>
    </row>
    <row r="17" spans="1:5" x14ac:dyDescent="0.25">
      <c r="A17" s="5" t="s">
        <v>92</v>
      </c>
      <c r="B17" s="3" t="s">
        <v>1493</v>
      </c>
      <c r="C17" s="3" t="s">
        <v>1469</v>
      </c>
      <c r="D17" s="3" t="s">
        <v>1494</v>
      </c>
      <c r="E17" s="3" t="s">
        <v>121</v>
      </c>
    </row>
    <row r="18" spans="1:5" x14ac:dyDescent="0.25">
      <c r="A18" s="5" t="s">
        <v>92</v>
      </c>
      <c r="B18" s="3" t="s">
        <v>1495</v>
      </c>
      <c r="C18" s="3" t="s">
        <v>1469</v>
      </c>
      <c r="D18" s="3" t="s">
        <v>1496</v>
      </c>
      <c r="E18" s="3" t="s">
        <v>121</v>
      </c>
    </row>
    <row r="19" spans="1:5" ht="30" x14ac:dyDescent="0.25">
      <c r="A19" s="5" t="s">
        <v>92</v>
      </c>
      <c r="B19" s="3" t="s">
        <v>1497</v>
      </c>
      <c r="C19" s="3" t="s">
        <v>1469</v>
      </c>
      <c r="D19" s="3" t="s">
        <v>1498</v>
      </c>
      <c r="E19" s="3" t="s">
        <v>121</v>
      </c>
    </row>
    <row r="20" spans="1:5" ht="30" x14ac:dyDescent="0.25">
      <c r="A20" s="5" t="s">
        <v>92</v>
      </c>
      <c r="B20" s="3" t="s">
        <v>1499</v>
      </c>
      <c r="C20" s="3" t="s">
        <v>1469</v>
      </c>
      <c r="D20" s="3" t="s">
        <v>1500</v>
      </c>
      <c r="E20" s="3" t="s">
        <v>121</v>
      </c>
    </row>
    <row r="21" spans="1:5" ht="30" x14ac:dyDescent="0.25">
      <c r="A21" s="5" t="s">
        <v>92</v>
      </c>
      <c r="B21" s="3" t="s">
        <v>1501</v>
      </c>
      <c r="C21" s="3" t="s">
        <v>1469</v>
      </c>
      <c r="D21" s="3" t="s">
        <v>1502</v>
      </c>
      <c r="E21" s="3" t="s">
        <v>121</v>
      </c>
    </row>
    <row r="22" spans="1:5" x14ac:dyDescent="0.25">
      <c r="A22" s="5" t="s">
        <v>92</v>
      </c>
      <c r="B22" s="3" t="s">
        <v>1503</v>
      </c>
      <c r="C22" s="3" t="s">
        <v>1469</v>
      </c>
      <c r="D22" s="3" t="s">
        <v>1504</v>
      </c>
      <c r="E22" s="3" t="s">
        <v>121</v>
      </c>
    </row>
    <row r="23" spans="1:5" x14ac:dyDescent="0.25">
      <c r="A23" s="5" t="s">
        <v>92</v>
      </c>
      <c r="B23" s="3" t="s">
        <v>1505</v>
      </c>
      <c r="C23" s="3" t="s">
        <v>1469</v>
      </c>
      <c r="D23" s="3" t="s">
        <v>1506</v>
      </c>
      <c r="E23" s="3" t="s">
        <v>121</v>
      </c>
    </row>
    <row r="24" spans="1:5" x14ac:dyDescent="0.25">
      <c r="A24" s="5" t="s">
        <v>92</v>
      </c>
      <c r="B24" s="3" t="s">
        <v>1507</v>
      </c>
      <c r="C24" s="3" t="s">
        <v>1469</v>
      </c>
      <c r="D24" s="3" t="s">
        <v>1508</v>
      </c>
      <c r="E24" s="3" t="s">
        <v>121</v>
      </c>
    </row>
    <row r="25" spans="1:5" ht="30" x14ac:dyDescent="0.25">
      <c r="A25" s="5" t="s">
        <v>92</v>
      </c>
      <c r="B25" s="3" t="s">
        <v>1509</v>
      </c>
      <c r="C25" s="3" t="s">
        <v>1469</v>
      </c>
      <c r="D25" s="3" t="s">
        <v>1510</v>
      </c>
      <c r="E25" s="3" t="s">
        <v>121</v>
      </c>
    </row>
    <row r="26" spans="1:5" x14ac:dyDescent="0.25">
      <c r="A26" s="5" t="s">
        <v>92</v>
      </c>
      <c r="B26" s="3" t="s">
        <v>1511</v>
      </c>
      <c r="C26" s="3" t="s">
        <v>1469</v>
      </c>
      <c r="D26" s="3" t="s">
        <v>1512</v>
      </c>
      <c r="E26" s="3" t="s">
        <v>121</v>
      </c>
    </row>
    <row r="27" spans="1:5" x14ac:dyDescent="0.25">
      <c r="A27" s="5" t="s">
        <v>92</v>
      </c>
      <c r="B27" s="3" t="s">
        <v>1513</v>
      </c>
      <c r="C27" s="3" t="s">
        <v>1469</v>
      </c>
      <c r="D27" s="3" t="s">
        <v>1514</v>
      </c>
      <c r="E27" s="3" t="s">
        <v>121</v>
      </c>
    </row>
    <row r="28" spans="1:5" x14ac:dyDescent="0.25">
      <c r="A28" s="5" t="s">
        <v>92</v>
      </c>
      <c r="B28" s="3" t="s">
        <v>1515</v>
      </c>
      <c r="C28" s="3" t="s">
        <v>1469</v>
      </c>
      <c r="D28" s="3" t="s">
        <v>1516</v>
      </c>
      <c r="E28" s="3" t="s">
        <v>121</v>
      </c>
    </row>
    <row r="29" spans="1:5" x14ac:dyDescent="0.25">
      <c r="A29" s="5" t="s">
        <v>92</v>
      </c>
      <c r="B29" s="3" t="s">
        <v>1517</v>
      </c>
      <c r="C29" s="3" t="s">
        <v>1469</v>
      </c>
      <c r="D29" s="3" t="s">
        <v>1518</v>
      </c>
      <c r="E29" s="3" t="s">
        <v>121</v>
      </c>
    </row>
    <row r="30" spans="1:5" x14ac:dyDescent="0.25">
      <c r="A30" s="5" t="s">
        <v>92</v>
      </c>
      <c r="B30" s="3" t="s">
        <v>1519</v>
      </c>
      <c r="C30" s="3" t="s">
        <v>1469</v>
      </c>
      <c r="D30" s="3" t="s">
        <v>1520</v>
      </c>
      <c r="E30" s="3" t="s">
        <v>121</v>
      </c>
    </row>
    <row r="31" spans="1:5" ht="30" x14ac:dyDescent="0.25">
      <c r="A31" s="5" t="s">
        <v>92</v>
      </c>
      <c r="B31" s="3" t="s">
        <v>1521</v>
      </c>
      <c r="C31" s="3" t="s">
        <v>1469</v>
      </c>
      <c r="D31" s="3" t="s">
        <v>1522</v>
      </c>
      <c r="E31" s="3" t="s">
        <v>121</v>
      </c>
    </row>
    <row r="32" spans="1:5" ht="30" x14ac:dyDescent="0.25">
      <c r="A32" s="5" t="s">
        <v>92</v>
      </c>
      <c r="B32" s="3" t="s">
        <v>1523</v>
      </c>
      <c r="C32" s="3" t="s">
        <v>1469</v>
      </c>
      <c r="D32" s="3" t="s">
        <v>1524</v>
      </c>
      <c r="E32" s="3" t="s">
        <v>121</v>
      </c>
    </row>
    <row r="33" spans="1:5" x14ac:dyDescent="0.25">
      <c r="A33" s="5" t="s">
        <v>92</v>
      </c>
      <c r="B33" s="3" t="s">
        <v>1525</v>
      </c>
      <c r="C33" s="3" t="s">
        <v>1469</v>
      </c>
      <c r="D33" s="3" t="s">
        <v>1526</v>
      </c>
      <c r="E33" s="3" t="s">
        <v>121</v>
      </c>
    </row>
    <row r="34" spans="1:5" x14ac:dyDescent="0.25">
      <c r="A34" s="5" t="s">
        <v>92</v>
      </c>
      <c r="B34" s="3" t="s">
        <v>1527</v>
      </c>
      <c r="C34" s="3" t="s">
        <v>1469</v>
      </c>
      <c r="D34" s="3" t="s">
        <v>1528</v>
      </c>
      <c r="E34" s="3" t="s">
        <v>121</v>
      </c>
    </row>
    <row r="35" spans="1:5" x14ac:dyDescent="0.25">
      <c r="A35" s="5" t="s">
        <v>92</v>
      </c>
      <c r="B35" s="3" t="s">
        <v>1529</v>
      </c>
      <c r="C35" s="3" t="s">
        <v>1469</v>
      </c>
      <c r="D35" s="3" t="s">
        <v>1530</v>
      </c>
      <c r="E35" s="3" t="s">
        <v>121</v>
      </c>
    </row>
    <row r="36" spans="1:5" ht="30" x14ac:dyDescent="0.25">
      <c r="A36" s="5" t="s">
        <v>92</v>
      </c>
      <c r="B36" s="3" t="s">
        <v>1531</v>
      </c>
      <c r="C36" s="3" t="s">
        <v>1469</v>
      </c>
      <c r="D36" s="3" t="s">
        <v>1532</v>
      </c>
      <c r="E36" s="3" t="s">
        <v>121</v>
      </c>
    </row>
    <row r="37" spans="1:5" x14ac:dyDescent="0.25">
      <c r="A37" s="5" t="s">
        <v>92</v>
      </c>
      <c r="B37" s="3" t="s">
        <v>1533</v>
      </c>
      <c r="C37" s="3" t="s">
        <v>1469</v>
      </c>
      <c r="D37" s="3" t="s">
        <v>1534</v>
      </c>
      <c r="E37" s="3" t="s">
        <v>121</v>
      </c>
    </row>
    <row r="38" spans="1:5" ht="30" x14ac:dyDescent="0.25">
      <c r="A38" s="5" t="s">
        <v>92</v>
      </c>
      <c r="B38" s="3" t="s">
        <v>1535</v>
      </c>
      <c r="C38" s="3" t="s">
        <v>1469</v>
      </c>
      <c r="D38" s="3" t="s">
        <v>1536</v>
      </c>
      <c r="E38" s="3" t="s">
        <v>121</v>
      </c>
    </row>
    <row r="39" spans="1:5" ht="30" x14ac:dyDescent="0.25">
      <c r="A39" s="5" t="s">
        <v>92</v>
      </c>
      <c r="B39" s="3" t="s">
        <v>1537</v>
      </c>
      <c r="C39" s="3" t="s">
        <v>1469</v>
      </c>
      <c r="D39" s="3" t="s">
        <v>1538</v>
      </c>
      <c r="E39" s="3" t="s">
        <v>121</v>
      </c>
    </row>
    <row r="40" spans="1:5" ht="30" x14ac:dyDescent="0.25">
      <c r="A40" s="5" t="s">
        <v>92</v>
      </c>
      <c r="B40" s="3" t="s">
        <v>1539</v>
      </c>
      <c r="C40" s="3" t="s">
        <v>1469</v>
      </c>
      <c r="D40" s="3" t="s">
        <v>1540</v>
      </c>
      <c r="E40" s="3" t="s">
        <v>121</v>
      </c>
    </row>
    <row r="41" spans="1:5" x14ac:dyDescent="0.25">
      <c r="A41" s="5" t="s">
        <v>92</v>
      </c>
      <c r="B41" s="3" t="s">
        <v>1541</v>
      </c>
      <c r="C41" s="3" t="s">
        <v>1469</v>
      </c>
      <c r="D41" s="3" t="s">
        <v>1542</v>
      </c>
      <c r="E41" s="3" t="s">
        <v>121</v>
      </c>
    </row>
    <row r="42" spans="1:5" x14ac:dyDescent="0.25">
      <c r="A42" s="5" t="s">
        <v>92</v>
      </c>
      <c r="B42" s="3" t="s">
        <v>1543</v>
      </c>
      <c r="C42" s="3" t="s">
        <v>1469</v>
      </c>
      <c r="D42" s="3" t="s">
        <v>1544</v>
      </c>
      <c r="E42" s="3" t="s">
        <v>121</v>
      </c>
    </row>
    <row r="43" spans="1:5" x14ac:dyDescent="0.25">
      <c r="A43" s="5" t="s">
        <v>92</v>
      </c>
      <c r="B43" s="3" t="s">
        <v>1545</v>
      </c>
      <c r="C43" s="3" t="s">
        <v>1469</v>
      </c>
      <c r="D43" s="3" t="s">
        <v>1546</v>
      </c>
      <c r="E43" s="3" t="s">
        <v>121</v>
      </c>
    </row>
    <row r="44" spans="1:5" x14ac:dyDescent="0.25">
      <c r="A44" s="5" t="s">
        <v>92</v>
      </c>
      <c r="B44" s="3" t="s">
        <v>1547</v>
      </c>
      <c r="C44" s="3" t="s">
        <v>1469</v>
      </c>
      <c r="D44" s="3" t="s">
        <v>1548</v>
      </c>
      <c r="E44" s="3" t="s">
        <v>121</v>
      </c>
    </row>
    <row r="45" spans="1:5" ht="30" x14ac:dyDescent="0.25">
      <c r="A45" s="5" t="s">
        <v>92</v>
      </c>
      <c r="B45" s="3" t="s">
        <v>1549</v>
      </c>
      <c r="C45" s="3" t="s">
        <v>1469</v>
      </c>
      <c r="D45" s="3" t="s">
        <v>1550</v>
      </c>
      <c r="E45" s="3" t="s">
        <v>121</v>
      </c>
    </row>
    <row r="46" spans="1:5" ht="30" x14ac:dyDescent="0.25">
      <c r="A46" s="5" t="s">
        <v>92</v>
      </c>
      <c r="B46" s="3" t="s">
        <v>1551</v>
      </c>
      <c r="C46" s="3" t="s">
        <v>1469</v>
      </c>
      <c r="D46" s="3" t="s">
        <v>1552</v>
      </c>
      <c r="E46" s="3" t="s">
        <v>121</v>
      </c>
    </row>
    <row r="47" spans="1:5" ht="30" x14ac:dyDescent="0.25">
      <c r="A47" s="5" t="s">
        <v>92</v>
      </c>
      <c r="B47" s="3" t="s">
        <v>1553</v>
      </c>
      <c r="C47" s="3" t="s">
        <v>1469</v>
      </c>
      <c r="D47" s="3" t="s">
        <v>1554</v>
      </c>
      <c r="E47" s="3" t="s">
        <v>121</v>
      </c>
    </row>
    <row r="48" spans="1:5" x14ac:dyDescent="0.25">
      <c r="A48" s="5" t="s">
        <v>92</v>
      </c>
      <c r="B48" s="3" t="s">
        <v>1555</v>
      </c>
      <c r="C48" s="3" t="s">
        <v>1469</v>
      </c>
      <c r="D48" s="3" t="s">
        <v>1556</v>
      </c>
      <c r="E48" s="3" t="s">
        <v>121</v>
      </c>
    </row>
    <row r="49" spans="1:5" ht="30" x14ac:dyDescent="0.25">
      <c r="A49" s="5" t="s">
        <v>92</v>
      </c>
      <c r="B49" s="3" t="s">
        <v>1557</v>
      </c>
      <c r="C49" s="3" t="s">
        <v>1469</v>
      </c>
      <c r="D49" s="3" t="s">
        <v>1558</v>
      </c>
      <c r="E49" s="3" t="s">
        <v>121</v>
      </c>
    </row>
    <row r="50" spans="1:5" x14ac:dyDescent="0.25">
      <c r="A50" s="5" t="s">
        <v>92</v>
      </c>
      <c r="B50" s="3" t="s">
        <v>1559</v>
      </c>
      <c r="C50" s="3" t="s">
        <v>1469</v>
      </c>
      <c r="D50" s="3" t="s">
        <v>1560</v>
      </c>
      <c r="E50" s="3" t="s">
        <v>121</v>
      </c>
    </row>
    <row r="51" spans="1:5" x14ac:dyDescent="0.25">
      <c r="A51" s="5" t="s">
        <v>92</v>
      </c>
      <c r="B51" s="3" t="s">
        <v>1561</v>
      </c>
      <c r="C51" s="3" t="s">
        <v>1469</v>
      </c>
      <c r="D51" s="3" t="s">
        <v>1562</v>
      </c>
      <c r="E51" s="3" t="s">
        <v>121</v>
      </c>
    </row>
    <row r="52" spans="1:5" x14ac:dyDescent="0.25">
      <c r="A52" s="5" t="s">
        <v>92</v>
      </c>
      <c r="B52" s="3" t="s">
        <v>1563</v>
      </c>
      <c r="C52" s="3" t="s">
        <v>1469</v>
      </c>
      <c r="D52" s="3" t="s">
        <v>1564</v>
      </c>
      <c r="E52" s="3" t="s">
        <v>121</v>
      </c>
    </row>
    <row r="53" spans="1:5" ht="30" x14ac:dyDescent="0.25">
      <c r="A53" s="5" t="s">
        <v>92</v>
      </c>
      <c r="B53" s="3" t="s">
        <v>1565</v>
      </c>
      <c r="C53" s="3" t="s">
        <v>1469</v>
      </c>
      <c r="D53" s="3" t="s">
        <v>1566</v>
      </c>
      <c r="E53" s="3" t="s">
        <v>121</v>
      </c>
    </row>
    <row r="54" spans="1:5" x14ac:dyDescent="0.25">
      <c r="A54" s="5" t="s">
        <v>92</v>
      </c>
      <c r="B54" s="3" t="s">
        <v>1567</v>
      </c>
      <c r="C54" s="3" t="s">
        <v>1469</v>
      </c>
      <c r="D54" s="3" t="s">
        <v>1568</v>
      </c>
      <c r="E54" s="3" t="s">
        <v>121</v>
      </c>
    </row>
    <row r="55" spans="1:5" x14ac:dyDescent="0.25">
      <c r="A55" s="5" t="s">
        <v>92</v>
      </c>
      <c r="B55" s="3" t="s">
        <v>1569</v>
      </c>
      <c r="C55" s="3" t="s">
        <v>1469</v>
      </c>
      <c r="D55" s="3" t="s">
        <v>1570</v>
      </c>
      <c r="E55" s="3" t="s">
        <v>121</v>
      </c>
    </row>
    <row r="56" spans="1:5" x14ac:dyDescent="0.25">
      <c r="A56" s="5" t="s">
        <v>92</v>
      </c>
      <c r="B56" s="3" t="s">
        <v>1571</v>
      </c>
      <c r="C56" s="3" t="s">
        <v>1469</v>
      </c>
      <c r="D56" s="3" t="s">
        <v>1572</v>
      </c>
      <c r="E56" s="3" t="s">
        <v>121</v>
      </c>
    </row>
  </sheetData>
  <mergeCells count="2">
    <mergeCell ref="A1:E1"/>
    <mergeCell ref="A2:E2"/>
  </mergeCells>
  <conditionalFormatting sqref="A5:A56">
    <cfRule type="expression" dxfId="75" priority="1">
      <formula>A5="☑"</formula>
    </cfRule>
  </conditionalFormatting>
  <conditionalFormatting sqref="E5:E56">
    <cfRule type="expression" dxfId="74" priority="2">
      <formula>$E5="P0"</formula>
    </cfRule>
    <cfRule type="expression" dxfId="73" priority="3">
      <formula>$E5="P1"</formula>
    </cfRule>
    <cfRule type="expression" dxfId="72" priority="4">
      <formula>$E5="P2"</formula>
    </cfRule>
  </conditionalFormatting>
  <dataValidations count="1">
    <dataValidation type="list" sqref="A5:A56" xr:uid="{00000000-0002-0000-15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9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51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1573</v>
      </c>
      <c r="C5" s="3" t="s">
        <v>1574</v>
      </c>
      <c r="D5" s="3" t="s">
        <v>1575</v>
      </c>
      <c r="E5" s="3" t="s">
        <v>121</v>
      </c>
    </row>
    <row r="6" spans="1:5" ht="30" x14ac:dyDescent="0.25">
      <c r="A6" s="5" t="s">
        <v>92</v>
      </c>
      <c r="B6" s="3" t="s">
        <v>1576</v>
      </c>
      <c r="C6" s="3" t="s">
        <v>1574</v>
      </c>
      <c r="D6" s="3" t="s">
        <v>1577</v>
      </c>
      <c r="E6" s="3" t="s">
        <v>121</v>
      </c>
    </row>
    <row r="7" spans="1:5" ht="30" x14ac:dyDescent="0.25">
      <c r="A7" s="5" t="s">
        <v>92</v>
      </c>
      <c r="B7" s="3" t="s">
        <v>1578</v>
      </c>
      <c r="C7" s="3" t="s">
        <v>1574</v>
      </c>
      <c r="D7" s="3" t="s">
        <v>1579</v>
      </c>
      <c r="E7" s="3" t="s">
        <v>121</v>
      </c>
    </row>
    <row r="8" spans="1:5" ht="30" x14ac:dyDescent="0.25">
      <c r="A8" s="5" t="s">
        <v>92</v>
      </c>
      <c r="B8" s="3" t="s">
        <v>1580</v>
      </c>
      <c r="C8" s="3" t="s">
        <v>1574</v>
      </c>
      <c r="D8" s="3" t="s">
        <v>1581</v>
      </c>
      <c r="E8" s="3" t="s">
        <v>121</v>
      </c>
    </row>
    <row r="9" spans="1:5" ht="30" x14ac:dyDescent="0.25">
      <c r="A9" s="5" t="s">
        <v>92</v>
      </c>
      <c r="B9" s="3" t="s">
        <v>1582</v>
      </c>
      <c r="C9" s="3" t="s">
        <v>1574</v>
      </c>
      <c r="D9" s="3" t="s">
        <v>1583</v>
      </c>
      <c r="E9" s="3" t="s">
        <v>121</v>
      </c>
    </row>
    <row r="10" spans="1:5" ht="30" x14ac:dyDescent="0.25">
      <c r="A10" s="5" t="s">
        <v>92</v>
      </c>
      <c r="B10" s="3" t="s">
        <v>1584</v>
      </c>
      <c r="C10" s="3" t="s">
        <v>1574</v>
      </c>
      <c r="D10" s="3" t="s">
        <v>1585</v>
      </c>
      <c r="E10" s="3" t="s">
        <v>121</v>
      </c>
    </row>
    <row r="11" spans="1:5" ht="30" x14ac:dyDescent="0.25">
      <c r="A11" s="5" t="s">
        <v>92</v>
      </c>
      <c r="B11" s="3" t="s">
        <v>1586</v>
      </c>
      <c r="C11" s="3" t="s">
        <v>1574</v>
      </c>
      <c r="D11" s="3" t="s">
        <v>1587</v>
      </c>
      <c r="E11" s="3" t="s">
        <v>121</v>
      </c>
    </row>
    <row r="12" spans="1:5" ht="30" x14ac:dyDescent="0.25">
      <c r="A12" s="5" t="s">
        <v>92</v>
      </c>
      <c r="B12" s="3" t="s">
        <v>1588</v>
      </c>
      <c r="C12" s="3" t="s">
        <v>1574</v>
      </c>
      <c r="D12" s="3" t="s">
        <v>1589</v>
      </c>
      <c r="E12" s="3" t="s">
        <v>121</v>
      </c>
    </row>
    <row r="13" spans="1:5" ht="30" x14ac:dyDescent="0.25">
      <c r="A13" s="5" t="s">
        <v>92</v>
      </c>
      <c r="B13" s="3" t="s">
        <v>1590</v>
      </c>
      <c r="C13" s="3" t="s">
        <v>1574</v>
      </c>
      <c r="D13" s="3" t="s">
        <v>1591</v>
      </c>
      <c r="E13" s="3" t="s">
        <v>121</v>
      </c>
    </row>
    <row r="14" spans="1:5" ht="30" x14ac:dyDescent="0.25">
      <c r="A14" s="5" t="s">
        <v>92</v>
      </c>
      <c r="B14" s="3" t="s">
        <v>1592</v>
      </c>
      <c r="C14" s="3" t="s">
        <v>1574</v>
      </c>
      <c r="D14" s="3" t="s">
        <v>1593</v>
      </c>
      <c r="E14" s="3" t="s">
        <v>121</v>
      </c>
    </row>
    <row r="15" spans="1:5" ht="30" x14ac:dyDescent="0.25">
      <c r="A15" s="5" t="s">
        <v>92</v>
      </c>
      <c r="B15" s="3" t="s">
        <v>1594</v>
      </c>
      <c r="C15" s="3" t="s">
        <v>1574</v>
      </c>
      <c r="D15" s="3" t="s">
        <v>1595</v>
      </c>
      <c r="E15" s="3" t="s">
        <v>121</v>
      </c>
    </row>
    <row r="16" spans="1:5" ht="30" x14ac:dyDescent="0.25">
      <c r="A16" s="5" t="s">
        <v>92</v>
      </c>
      <c r="B16" s="3" t="s">
        <v>1596</v>
      </c>
      <c r="C16" s="3" t="s">
        <v>1574</v>
      </c>
      <c r="D16" s="3" t="s">
        <v>1597</v>
      </c>
      <c r="E16" s="3" t="s">
        <v>121</v>
      </c>
    </row>
    <row r="17" spans="1:5" ht="30" x14ac:dyDescent="0.25">
      <c r="A17" s="5" t="s">
        <v>92</v>
      </c>
      <c r="B17" s="3" t="s">
        <v>1598</v>
      </c>
      <c r="C17" s="3" t="s">
        <v>1574</v>
      </c>
      <c r="D17" s="3" t="s">
        <v>1599</v>
      </c>
      <c r="E17" s="3" t="s">
        <v>121</v>
      </c>
    </row>
    <row r="18" spans="1:5" ht="30" x14ac:dyDescent="0.25">
      <c r="A18" s="5" t="s">
        <v>92</v>
      </c>
      <c r="B18" s="3" t="s">
        <v>1600</v>
      </c>
      <c r="C18" s="3" t="s">
        <v>1574</v>
      </c>
      <c r="D18" s="3" t="s">
        <v>1601</v>
      </c>
      <c r="E18" s="3" t="s">
        <v>121</v>
      </c>
    </row>
    <row r="19" spans="1:5" ht="30" x14ac:dyDescent="0.25">
      <c r="A19" s="5" t="s">
        <v>92</v>
      </c>
      <c r="B19" s="3" t="s">
        <v>1602</v>
      </c>
      <c r="C19" s="3" t="s">
        <v>1574</v>
      </c>
      <c r="D19" s="3" t="s">
        <v>1603</v>
      </c>
      <c r="E19" s="3" t="s">
        <v>121</v>
      </c>
    </row>
  </sheetData>
  <mergeCells count="2">
    <mergeCell ref="A1:E1"/>
    <mergeCell ref="A2:E2"/>
  </mergeCells>
  <conditionalFormatting sqref="A5:A19">
    <cfRule type="expression" dxfId="71" priority="1">
      <formula>A5="☑"</formula>
    </cfRule>
  </conditionalFormatting>
  <conditionalFormatting sqref="E5:E19">
    <cfRule type="expression" dxfId="70" priority="2">
      <formula>$E5="P0"</formula>
    </cfRule>
    <cfRule type="expression" dxfId="69" priority="3">
      <formula>$E5="P1"</formula>
    </cfRule>
    <cfRule type="expression" dxfId="68" priority="4">
      <formula>$E5="P2"</formula>
    </cfRule>
  </conditionalFormatting>
  <dataValidations count="1">
    <dataValidation type="list" sqref="A5:A19" xr:uid="{00000000-0002-0000-16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9"/>
  <sheetViews>
    <sheetView workbookViewId="0">
      <selection sqref="A1:E1"/>
    </sheetView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53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1604</v>
      </c>
      <c r="C5" s="3" t="s">
        <v>1605</v>
      </c>
      <c r="D5" s="3" t="s">
        <v>1606</v>
      </c>
      <c r="E5" s="3" t="s">
        <v>121</v>
      </c>
    </row>
    <row r="6" spans="1:5" ht="30" x14ac:dyDescent="0.25">
      <c r="A6" s="5" t="s">
        <v>92</v>
      </c>
      <c r="B6" s="3" t="s">
        <v>1607</v>
      </c>
      <c r="C6" s="3" t="s">
        <v>1605</v>
      </c>
      <c r="D6" s="3" t="s">
        <v>1608</v>
      </c>
      <c r="E6" s="3" t="s">
        <v>121</v>
      </c>
    </row>
    <row r="7" spans="1:5" ht="30" x14ac:dyDescent="0.25">
      <c r="A7" s="5" t="s">
        <v>92</v>
      </c>
      <c r="B7" s="3" t="s">
        <v>1609</v>
      </c>
      <c r="C7" s="3" t="s">
        <v>1605</v>
      </c>
      <c r="D7" s="3" t="s">
        <v>1610</v>
      </c>
      <c r="E7" s="3" t="s">
        <v>121</v>
      </c>
    </row>
    <row r="8" spans="1:5" ht="30" x14ac:dyDescent="0.25">
      <c r="A8" s="5" t="s">
        <v>92</v>
      </c>
      <c r="B8" s="3" t="s">
        <v>1611</v>
      </c>
      <c r="C8" s="3" t="s">
        <v>1605</v>
      </c>
      <c r="D8" s="3" t="s">
        <v>1612</v>
      </c>
      <c r="E8" s="3" t="s">
        <v>121</v>
      </c>
    </row>
    <row r="9" spans="1:5" ht="30" x14ac:dyDescent="0.25">
      <c r="A9" s="5" t="s">
        <v>92</v>
      </c>
      <c r="B9" s="3" t="s">
        <v>1613</v>
      </c>
      <c r="C9" s="3" t="s">
        <v>1605</v>
      </c>
      <c r="D9" s="3" t="s">
        <v>1614</v>
      </c>
      <c r="E9" s="3" t="s">
        <v>121</v>
      </c>
    </row>
    <row r="10" spans="1:5" ht="30" x14ac:dyDescent="0.25">
      <c r="A10" s="5" t="s">
        <v>92</v>
      </c>
      <c r="B10" s="3" t="s">
        <v>1615</v>
      </c>
      <c r="C10" s="3" t="s">
        <v>1605</v>
      </c>
      <c r="D10" s="3" t="s">
        <v>1616</v>
      </c>
      <c r="E10" s="3" t="s">
        <v>121</v>
      </c>
    </row>
    <row r="11" spans="1:5" ht="30" x14ac:dyDescent="0.25">
      <c r="A11" s="5" t="s">
        <v>92</v>
      </c>
      <c r="B11" s="3" t="s">
        <v>1617</v>
      </c>
      <c r="C11" s="3" t="s">
        <v>1605</v>
      </c>
      <c r="D11" s="3" t="s">
        <v>1618</v>
      </c>
      <c r="E11" s="3" t="s">
        <v>121</v>
      </c>
    </row>
    <row r="12" spans="1:5" ht="30" x14ac:dyDescent="0.25">
      <c r="A12" s="5" t="s">
        <v>92</v>
      </c>
      <c r="B12" s="3" t="s">
        <v>1619</v>
      </c>
      <c r="C12" s="3" t="s">
        <v>1605</v>
      </c>
      <c r="D12" s="3" t="s">
        <v>1620</v>
      </c>
      <c r="E12" s="3" t="s">
        <v>121</v>
      </c>
    </row>
    <row r="13" spans="1:5" ht="30" x14ac:dyDescent="0.25">
      <c r="A13" s="5" t="s">
        <v>92</v>
      </c>
      <c r="B13" s="3" t="s">
        <v>1621</v>
      </c>
      <c r="C13" s="3" t="s">
        <v>1605</v>
      </c>
      <c r="D13" s="3" t="s">
        <v>1622</v>
      </c>
      <c r="E13" s="3" t="s">
        <v>121</v>
      </c>
    </row>
    <row r="14" spans="1:5" ht="30" x14ac:dyDescent="0.25">
      <c r="A14" s="5" t="s">
        <v>92</v>
      </c>
      <c r="B14" s="3" t="s">
        <v>1623</v>
      </c>
      <c r="C14" s="3" t="s">
        <v>1605</v>
      </c>
      <c r="D14" s="3" t="s">
        <v>1624</v>
      </c>
      <c r="E14" s="3" t="s">
        <v>121</v>
      </c>
    </row>
    <row r="15" spans="1:5" ht="30" x14ac:dyDescent="0.25">
      <c r="A15" s="5" t="s">
        <v>92</v>
      </c>
      <c r="B15" s="3" t="s">
        <v>1625</v>
      </c>
      <c r="C15" s="3" t="s">
        <v>1605</v>
      </c>
      <c r="D15" s="3" t="s">
        <v>1626</v>
      </c>
      <c r="E15" s="3" t="s">
        <v>121</v>
      </c>
    </row>
    <row r="16" spans="1:5" ht="30" x14ac:dyDescent="0.25">
      <c r="A16" s="5" t="s">
        <v>92</v>
      </c>
      <c r="B16" s="3" t="s">
        <v>1627</v>
      </c>
      <c r="C16" s="3" t="s">
        <v>1605</v>
      </c>
      <c r="D16" s="3" t="s">
        <v>1628</v>
      </c>
      <c r="E16" s="3" t="s">
        <v>121</v>
      </c>
    </row>
    <row r="17" spans="1:5" ht="30" x14ac:dyDescent="0.25">
      <c r="A17" s="5" t="s">
        <v>92</v>
      </c>
      <c r="B17" s="3" t="s">
        <v>1629</v>
      </c>
      <c r="C17" s="3" t="s">
        <v>1605</v>
      </c>
      <c r="D17" s="3" t="s">
        <v>1630</v>
      </c>
      <c r="E17" s="3" t="s">
        <v>121</v>
      </c>
    </row>
    <row r="18" spans="1:5" ht="30" x14ac:dyDescent="0.25">
      <c r="A18" s="5" t="s">
        <v>92</v>
      </c>
      <c r="B18" s="3" t="s">
        <v>1631</v>
      </c>
      <c r="C18" s="3" t="s">
        <v>1605</v>
      </c>
      <c r="D18" s="3" t="s">
        <v>1632</v>
      </c>
      <c r="E18" s="3" t="s">
        <v>121</v>
      </c>
    </row>
    <row r="19" spans="1:5" ht="30" x14ac:dyDescent="0.25">
      <c r="A19" s="5" t="s">
        <v>92</v>
      </c>
      <c r="B19" s="3" t="s">
        <v>1633</v>
      </c>
      <c r="C19" s="3" t="s">
        <v>1605</v>
      </c>
      <c r="D19" s="3" t="s">
        <v>1634</v>
      </c>
      <c r="E19" s="3" t="s">
        <v>121</v>
      </c>
    </row>
  </sheetData>
  <mergeCells count="2">
    <mergeCell ref="A1:E1"/>
    <mergeCell ref="A2:E2"/>
  </mergeCells>
  <conditionalFormatting sqref="A5:A19">
    <cfRule type="expression" dxfId="67" priority="1">
      <formula>A5="☑"</formula>
    </cfRule>
  </conditionalFormatting>
  <conditionalFormatting sqref="E5:E19">
    <cfRule type="expression" dxfId="66" priority="2">
      <formula>$E5="P0"</formula>
    </cfRule>
    <cfRule type="expression" dxfId="65" priority="3">
      <formula>$E5="P1"</formula>
    </cfRule>
    <cfRule type="expression" dxfId="64" priority="4">
      <formula>$E5="P2"</formula>
    </cfRule>
  </conditionalFormatting>
  <dataValidations count="1">
    <dataValidation type="list" sqref="A5:A19" xr:uid="{00000000-0002-0000-17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4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55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1635</v>
      </c>
      <c r="C5" s="3" t="s">
        <v>1636</v>
      </c>
      <c r="D5" s="3" t="s">
        <v>1637</v>
      </c>
      <c r="E5" s="3" t="s">
        <v>121</v>
      </c>
    </row>
    <row r="6" spans="1:5" ht="30" x14ac:dyDescent="0.25">
      <c r="A6" s="5" t="s">
        <v>92</v>
      </c>
      <c r="B6" s="3" t="s">
        <v>1638</v>
      </c>
      <c r="C6" s="3" t="s">
        <v>1639</v>
      </c>
      <c r="D6" s="3" t="s">
        <v>1640</v>
      </c>
      <c r="E6" s="3" t="s">
        <v>142</v>
      </c>
    </row>
    <row r="7" spans="1:5" ht="30" x14ac:dyDescent="0.25">
      <c r="A7" s="5" t="s">
        <v>92</v>
      </c>
      <c r="B7" s="3" t="s">
        <v>1641</v>
      </c>
      <c r="C7" s="3" t="s">
        <v>1636</v>
      </c>
      <c r="D7" s="3" t="s">
        <v>1642</v>
      </c>
      <c r="E7" s="3" t="s">
        <v>121</v>
      </c>
    </row>
    <row r="8" spans="1:5" ht="30" x14ac:dyDescent="0.25">
      <c r="A8" s="5" t="s">
        <v>92</v>
      </c>
      <c r="B8" s="3" t="s">
        <v>1643</v>
      </c>
      <c r="C8" s="3" t="s">
        <v>1639</v>
      </c>
      <c r="D8" s="3" t="s">
        <v>1644</v>
      </c>
      <c r="E8" s="3" t="s">
        <v>142</v>
      </c>
    </row>
    <row r="9" spans="1:5" x14ac:dyDescent="0.25">
      <c r="A9" s="5" t="s">
        <v>92</v>
      </c>
      <c r="B9" s="3" t="s">
        <v>1645</v>
      </c>
      <c r="C9" s="3" t="s">
        <v>1636</v>
      </c>
      <c r="D9" s="3" t="s">
        <v>1646</v>
      </c>
      <c r="E9" s="3" t="s">
        <v>121</v>
      </c>
    </row>
    <row r="10" spans="1:5" ht="30" x14ac:dyDescent="0.25">
      <c r="A10" s="5" t="s">
        <v>92</v>
      </c>
      <c r="B10" s="3" t="s">
        <v>1647</v>
      </c>
      <c r="C10" s="3" t="s">
        <v>1639</v>
      </c>
      <c r="D10" s="3" t="s">
        <v>1648</v>
      </c>
      <c r="E10" s="3" t="s">
        <v>142</v>
      </c>
    </row>
    <row r="11" spans="1:5" ht="30" x14ac:dyDescent="0.25">
      <c r="A11" s="5" t="s">
        <v>92</v>
      </c>
      <c r="B11" s="3" t="s">
        <v>1649</v>
      </c>
      <c r="C11" s="3" t="s">
        <v>1636</v>
      </c>
      <c r="D11" s="3" t="s">
        <v>1650</v>
      </c>
      <c r="E11" s="3" t="s">
        <v>121</v>
      </c>
    </row>
    <row r="12" spans="1:5" ht="30" x14ac:dyDescent="0.25">
      <c r="A12" s="5" t="s">
        <v>92</v>
      </c>
      <c r="B12" s="3" t="s">
        <v>1651</v>
      </c>
      <c r="C12" s="3" t="s">
        <v>1639</v>
      </c>
      <c r="D12" s="3" t="s">
        <v>1652</v>
      </c>
      <c r="E12" s="3" t="s">
        <v>142</v>
      </c>
    </row>
    <row r="13" spans="1:5" ht="30" x14ac:dyDescent="0.25">
      <c r="A13" s="5" t="s">
        <v>92</v>
      </c>
      <c r="B13" s="3" t="s">
        <v>1653</v>
      </c>
      <c r="C13" s="3" t="s">
        <v>1636</v>
      </c>
      <c r="D13" s="3" t="s">
        <v>1654</v>
      </c>
      <c r="E13" s="3" t="s">
        <v>121</v>
      </c>
    </row>
    <row r="14" spans="1:5" ht="30" x14ac:dyDescent="0.25">
      <c r="A14" s="5" t="s">
        <v>92</v>
      </c>
      <c r="B14" s="3" t="s">
        <v>1655</v>
      </c>
      <c r="C14" s="3" t="s">
        <v>1639</v>
      </c>
      <c r="D14" s="3" t="s">
        <v>1656</v>
      </c>
      <c r="E14" s="3" t="s">
        <v>142</v>
      </c>
    </row>
    <row r="15" spans="1:5" ht="30" x14ac:dyDescent="0.25">
      <c r="A15" s="5" t="s">
        <v>92</v>
      </c>
      <c r="B15" s="3" t="s">
        <v>1657</v>
      </c>
      <c r="C15" s="3" t="s">
        <v>1636</v>
      </c>
      <c r="D15" s="3" t="s">
        <v>1658</v>
      </c>
      <c r="E15" s="3" t="s">
        <v>121</v>
      </c>
    </row>
    <row r="16" spans="1:5" ht="30" x14ac:dyDescent="0.25">
      <c r="A16" s="5" t="s">
        <v>92</v>
      </c>
      <c r="B16" s="3" t="s">
        <v>1659</v>
      </c>
      <c r="C16" s="3" t="s">
        <v>1639</v>
      </c>
      <c r="D16" s="3" t="s">
        <v>1660</v>
      </c>
      <c r="E16" s="3" t="s">
        <v>142</v>
      </c>
    </row>
    <row r="17" spans="1:5" x14ac:dyDescent="0.25">
      <c r="A17" s="5" t="s">
        <v>92</v>
      </c>
      <c r="B17" s="3" t="s">
        <v>1661</v>
      </c>
      <c r="C17" s="3" t="s">
        <v>1636</v>
      </c>
      <c r="D17" s="3" t="s">
        <v>1662</v>
      </c>
      <c r="E17" s="3" t="s">
        <v>121</v>
      </c>
    </row>
    <row r="18" spans="1:5" ht="30" x14ac:dyDescent="0.25">
      <c r="A18" s="5" t="s">
        <v>92</v>
      </c>
      <c r="B18" s="3" t="s">
        <v>1663</v>
      </c>
      <c r="C18" s="3" t="s">
        <v>1639</v>
      </c>
      <c r="D18" s="3" t="s">
        <v>1664</v>
      </c>
      <c r="E18" s="3" t="s">
        <v>142</v>
      </c>
    </row>
    <row r="19" spans="1:5" ht="30" x14ac:dyDescent="0.25">
      <c r="A19" s="5" t="s">
        <v>92</v>
      </c>
      <c r="B19" s="3" t="s">
        <v>1665</v>
      </c>
      <c r="C19" s="3" t="s">
        <v>1636</v>
      </c>
      <c r="D19" s="3" t="s">
        <v>1666</v>
      </c>
      <c r="E19" s="3" t="s">
        <v>121</v>
      </c>
    </row>
    <row r="20" spans="1:5" ht="30" x14ac:dyDescent="0.25">
      <c r="A20" s="5" t="s">
        <v>92</v>
      </c>
      <c r="B20" s="3" t="s">
        <v>1667</v>
      </c>
      <c r="C20" s="3" t="s">
        <v>1639</v>
      </c>
      <c r="D20" s="3" t="s">
        <v>1668</v>
      </c>
      <c r="E20" s="3" t="s">
        <v>142</v>
      </c>
    </row>
    <row r="21" spans="1:5" x14ac:dyDescent="0.25">
      <c r="A21" s="5" t="s">
        <v>92</v>
      </c>
      <c r="B21" s="3" t="s">
        <v>1669</v>
      </c>
      <c r="C21" s="3" t="s">
        <v>1636</v>
      </c>
      <c r="D21" s="3" t="s">
        <v>1670</v>
      </c>
      <c r="E21" s="3" t="s">
        <v>121</v>
      </c>
    </row>
    <row r="22" spans="1:5" ht="30" x14ac:dyDescent="0.25">
      <c r="A22" s="5" t="s">
        <v>92</v>
      </c>
      <c r="B22" s="3" t="s">
        <v>1671</v>
      </c>
      <c r="C22" s="3" t="s">
        <v>1639</v>
      </c>
      <c r="D22" s="3" t="s">
        <v>1672</v>
      </c>
      <c r="E22" s="3" t="s">
        <v>142</v>
      </c>
    </row>
    <row r="23" spans="1:5" x14ac:dyDescent="0.25">
      <c r="A23" s="5" t="s">
        <v>92</v>
      </c>
      <c r="B23" s="3" t="s">
        <v>1673</v>
      </c>
      <c r="C23" s="3" t="s">
        <v>1636</v>
      </c>
      <c r="D23" s="3" t="s">
        <v>1674</v>
      </c>
      <c r="E23" s="3" t="s">
        <v>121</v>
      </c>
    </row>
    <row r="24" spans="1:5" ht="30" x14ac:dyDescent="0.25">
      <c r="A24" s="5" t="s">
        <v>92</v>
      </c>
      <c r="B24" s="3" t="s">
        <v>1675</v>
      </c>
      <c r="C24" s="3" t="s">
        <v>1639</v>
      </c>
      <c r="D24" s="3" t="s">
        <v>1676</v>
      </c>
      <c r="E24" s="3" t="s">
        <v>142</v>
      </c>
    </row>
  </sheetData>
  <mergeCells count="2">
    <mergeCell ref="A1:E1"/>
    <mergeCell ref="A2:E2"/>
  </mergeCells>
  <conditionalFormatting sqref="A5:A24">
    <cfRule type="expression" dxfId="63" priority="1">
      <formula>A5="☑"</formula>
    </cfRule>
  </conditionalFormatting>
  <conditionalFormatting sqref="E5:E24">
    <cfRule type="expression" dxfId="62" priority="2">
      <formula>$E5="P0"</formula>
    </cfRule>
    <cfRule type="expression" dxfId="61" priority="3">
      <formula>$E5="P1"</formula>
    </cfRule>
    <cfRule type="expression" dxfId="60" priority="4">
      <formula>$E5="P2"</formula>
    </cfRule>
  </conditionalFormatting>
  <dataValidations count="1">
    <dataValidation type="list" sqref="A5:A24" xr:uid="{00000000-0002-0000-18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4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57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1677</v>
      </c>
      <c r="C5" s="3" t="s">
        <v>1678</v>
      </c>
      <c r="D5" s="3" t="s">
        <v>1679</v>
      </c>
      <c r="E5" s="3" t="s">
        <v>121</v>
      </c>
    </row>
    <row r="6" spans="1:5" x14ac:dyDescent="0.25">
      <c r="A6" s="5" t="s">
        <v>92</v>
      </c>
      <c r="B6" s="3" t="s">
        <v>1680</v>
      </c>
      <c r="C6" s="3" t="s">
        <v>1678</v>
      </c>
      <c r="D6" s="3" t="s">
        <v>1681</v>
      </c>
      <c r="E6" s="3" t="s">
        <v>121</v>
      </c>
    </row>
    <row r="7" spans="1:5" ht="30" x14ac:dyDescent="0.25">
      <c r="A7" s="5" t="s">
        <v>92</v>
      </c>
      <c r="B7" s="3" t="s">
        <v>1682</v>
      </c>
      <c r="C7" s="3" t="s">
        <v>1678</v>
      </c>
      <c r="D7" s="3" t="s">
        <v>1683</v>
      </c>
      <c r="E7" s="3" t="s">
        <v>121</v>
      </c>
    </row>
    <row r="8" spans="1:5" x14ac:dyDescent="0.25">
      <c r="A8" s="5" t="s">
        <v>92</v>
      </c>
      <c r="B8" s="3" t="s">
        <v>1684</v>
      </c>
      <c r="C8" s="3" t="s">
        <v>1678</v>
      </c>
      <c r="D8" s="3" t="s">
        <v>1685</v>
      </c>
      <c r="E8" s="3" t="s">
        <v>121</v>
      </c>
    </row>
    <row r="9" spans="1:5" x14ac:dyDescent="0.25">
      <c r="A9" s="5" t="s">
        <v>92</v>
      </c>
      <c r="B9" s="3" t="s">
        <v>1686</v>
      </c>
      <c r="C9" s="3" t="s">
        <v>1678</v>
      </c>
      <c r="D9" s="3" t="s">
        <v>1687</v>
      </c>
      <c r="E9" s="3" t="s">
        <v>121</v>
      </c>
    </row>
    <row r="10" spans="1:5" ht="30" x14ac:dyDescent="0.25">
      <c r="A10" s="5" t="s">
        <v>92</v>
      </c>
      <c r="B10" s="3" t="s">
        <v>1688</v>
      </c>
      <c r="C10" s="3" t="s">
        <v>1678</v>
      </c>
      <c r="D10" s="3" t="s">
        <v>1689</v>
      </c>
      <c r="E10" s="3" t="s">
        <v>121</v>
      </c>
    </row>
    <row r="11" spans="1:5" x14ac:dyDescent="0.25">
      <c r="A11" s="5" t="s">
        <v>92</v>
      </c>
      <c r="B11" s="3" t="s">
        <v>1690</v>
      </c>
      <c r="C11" s="3" t="s">
        <v>1678</v>
      </c>
      <c r="D11" s="3" t="s">
        <v>1691</v>
      </c>
      <c r="E11" s="3" t="s">
        <v>121</v>
      </c>
    </row>
    <row r="12" spans="1:5" ht="30" x14ac:dyDescent="0.25">
      <c r="A12" s="5" t="s">
        <v>92</v>
      </c>
      <c r="B12" s="3" t="s">
        <v>1692</v>
      </c>
      <c r="C12" s="3" t="s">
        <v>1678</v>
      </c>
      <c r="D12" s="3" t="s">
        <v>1693</v>
      </c>
      <c r="E12" s="3" t="s">
        <v>121</v>
      </c>
    </row>
    <row r="13" spans="1:5" ht="30" x14ac:dyDescent="0.25">
      <c r="A13" s="5" t="s">
        <v>92</v>
      </c>
      <c r="B13" s="3" t="s">
        <v>1694</v>
      </c>
      <c r="C13" s="3" t="s">
        <v>1678</v>
      </c>
      <c r="D13" s="3" t="s">
        <v>1695</v>
      </c>
      <c r="E13" s="3" t="s">
        <v>121</v>
      </c>
    </row>
    <row r="14" spans="1:5" ht="30" x14ac:dyDescent="0.25">
      <c r="A14" s="5" t="s">
        <v>92</v>
      </c>
      <c r="B14" s="3" t="s">
        <v>1696</v>
      </c>
      <c r="C14" s="3" t="s">
        <v>1678</v>
      </c>
      <c r="D14" s="3" t="s">
        <v>1697</v>
      </c>
      <c r="E14" s="3" t="s">
        <v>121</v>
      </c>
    </row>
  </sheetData>
  <mergeCells count="2">
    <mergeCell ref="A1:E1"/>
    <mergeCell ref="A2:E2"/>
  </mergeCells>
  <conditionalFormatting sqref="A5:A14">
    <cfRule type="expression" dxfId="59" priority="1">
      <formula>A5="☑"</formula>
    </cfRule>
  </conditionalFormatting>
  <conditionalFormatting sqref="E5:E14">
    <cfRule type="expression" dxfId="58" priority="2">
      <formula>$E5="P0"</formula>
    </cfRule>
    <cfRule type="expression" dxfId="57" priority="3">
      <formula>$E5="P1"</formula>
    </cfRule>
    <cfRule type="expression" dxfId="56" priority="4">
      <formula>$E5="P2"</formula>
    </cfRule>
  </conditionalFormatting>
  <dataValidations count="1">
    <dataValidation type="list" sqref="A5:A14" xr:uid="{00000000-0002-0000-19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2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59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1698</v>
      </c>
      <c r="C5" s="3" t="s">
        <v>1699</v>
      </c>
      <c r="D5" s="3" t="s">
        <v>1700</v>
      </c>
      <c r="E5" s="3" t="s">
        <v>121</v>
      </c>
    </row>
    <row r="6" spans="1:5" ht="30" x14ac:dyDescent="0.25">
      <c r="A6" s="5" t="s">
        <v>92</v>
      </c>
      <c r="B6" s="3" t="s">
        <v>1701</v>
      </c>
      <c r="C6" s="3" t="s">
        <v>1699</v>
      </c>
      <c r="D6" s="3" t="s">
        <v>1702</v>
      </c>
      <c r="E6" s="3" t="s">
        <v>121</v>
      </c>
    </row>
    <row r="7" spans="1:5" ht="30" x14ac:dyDescent="0.25">
      <c r="A7" s="5" t="s">
        <v>92</v>
      </c>
      <c r="B7" s="3" t="s">
        <v>1703</v>
      </c>
      <c r="C7" s="3" t="s">
        <v>1699</v>
      </c>
      <c r="D7" s="3" t="s">
        <v>1704</v>
      </c>
      <c r="E7" s="3" t="s">
        <v>121</v>
      </c>
    </row>
    <row r="8" spans="1:5" ht="30" x14ac:dyDescent="0.25">
      <c r="A8" s="5" t="s">
        <v>92</v>
      </c>
      <c r="B8" s="3" t="s">
        <v>1705</v>
      </c>
      <c r="C8" s="3" t="s">
        <v>1699</v>
      </c>
      <c r="D8" s="3" t="s">
        <v>1706</v>
      </c>
      <c r="E8" s="3" t="s">
        <v>121</v>
      </c>
    </row>
    <row r="9" spans="1:5" ht="30" x14ac:dyDescent="0.25">
      <c r="A9" s="5" t="s">
        <v>92</v>
      </c>
      <c r="B9" s="3" t="s">
        <v>1707</v>
      </c>
      <c r="C9" s="3" t="s">
        <v>1699</v>
      </c>
      <c r="D9" s="3" t="s">
        <v>1708</v>
      </c>
      <c r="E9" s="3" t="s">
        <v>121</v>
      </c>
    </row>
    <row r="10" spans="1:5" ht="30" x14ac:dyDescent="0.25">
      <c r="A10" s="5" t="s">
        <v>92</v>
      </c>
      <c r="B10" s="3" t="s">
        <v>1709</v>
      </c>
      <c r="C10" s="3" t="s">
        <v>1699</v>
      </c>
      <c r="D10" s="3" t="s">
        <v>1710</v>
      </c>
      <c r="E10" s="3" t="s">
        <v>121</v>
      </c>
    </row>
    <row r="11" spans="1:5" ht="30" x14ac:dyDescent="0.25">
      <c r="A11" s="5" t="s">
        <v>92</v>
      </c>
      <c r="B11" s="3" t="s">
        <v>1711</v>
      </c>
      <c r="C11" s="3" t="s">
        <v>1699</v>
      </c>
      <c r="D11" s="3" t="s">
        <v>1712</v>
      </c>
      <c r="E11" s="3" t="s">
        <v>121</v>
      </c>
    </row>
    <row r="12" spans="1:5" ht="30" x14ac:dyDescent="0.25">
      <c r="A12" s="5" t="s">
        <v>92</v>
      </c>
      <c r="B12" s="3" t="s">
        <v>1713</v>
      </c>
      <c r="C12" s="3" t="s">
        <v>1699</v>
      </c>
      <c r="D12" s="3" t="s">
        <v>1714</v>
      </c>
      <c r="E12" s="3" t="s">
        <v>121</v>
      </c>
    </row>
  </sheetData>
  <mergeCells count="2">
    <mergeCell ref="A1:E1"/>
    <mergeCell ref="A2:E2"/>
  </mergeCells>
  <conditionalFormatting sqref="A5:A12">
    <cfRule type="expression" dxfId="55" priority="1">
      <formula>A5="☑"</formula>
    </cfRule>
  </conditionalFormatting>
  <conditionalFormatting sqref="E5:E12">
    <cfRule type="expression" dxfId="54" priority="2">
      <formula>$E5="P0"</formula>
    </cfRule>
    <cfRule type="expression" dxfId="53" priority="3">
      <formula>$E5="P1"</formula>
    </cfRule>
    <cfRule type="expression" dxfId="52" priority="4">
      <formula>$E5="P2"</formula>
    </cfRule>
  </conditionalFormatting>
  <dataValidations count="1">
    <dataValidation type="list" sqref="A5:A12" xr:uid="{00000000-0002-0000-1A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2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61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1715</v>
      </c>
      <c r="C5" s="3" t="s">
        <v>1716</v>
      </c>
      <c r="D5" s="3" t="s">
        <v>1717</v>
      </c>
      <c r="E5" s="3" t="s">
        <v>121</v>
      </c>
    </row>
    <row r="6" spans="1:5" x14ac:dyDescent="0.25">
      <c r="A6" s="5" t="s">
        <v>92</v>
      </c>
      <c r="B6" s="3" t="s">
        <v>1718</v>
      </c>
      <c r="C6" s="3" t="s">
        <v>1716</v>
      </c>
      <c r="D6" s="3" t="s">
        <v>1719</v>
      </c>
      <c r="E6" s="3" t="s">
        <v>121</v>
      </c>
    </row>
    <row r="7" spans="1:5" ht="30" x14ac:dyDescent="0.25">
      <c r="A7" s="5" t="s">
        <v>92</v>
      </c>
      <c r="B7" s="3" t="s">
        <v>1720</v>
      </c>
      <c r="C7" s="3" t="s">
        <v>1716</v>
      </c>
      <c r="D7" s="3" t="s">
        <v>1721</v>
      </c>
      <c r="E7" s="3" t="s">
        <v>121</v>
      </c>
    </row>
    <row r="8" spans="1:5" x14ac:dyDescent="0.25">
      <c r="A8" s="5" t="s">
        <v>92</v>
      </c>
      <c r="B8" s="3" t="s">
        <v>1722</v>
      </c>
      <c r="C8" s="3" t="s">
        <v>1716</v>
      </c>
      <c r="D8" s="3" t="s">
        <v>1723</v>
      </c>
      <c r="E8" s="3" t="s">
        <v>121</v>
      </c>
    </row>
    <row r="9" spans="1:5" ht="30" x14ac:dyDescent="0.25">
      <c r="A9" s="5" t="s">
        <v>92</v>
      </c>
      <c r="B9" s="3" t="s">
        <v>1724</v>
      </c>
      <c r="C9" s="3" t="s">
        <v>1716</v>
      </c>
      <c r="D9" s="3" t="s">
        <v>1725</v>
      </c>
      <c r="E9" s="3" t="s">
        <v>121</v>
      </c>
    </row>
    <row r="10" spans="1:5" x14ac:dyDescent="0.25">
      <c r="A10" s="5" t="s">
        <v>92</v>
      </c>
      <c r="B10" s="3" t="s">
        <v>1726</v>
      </c>
      <c r="C10" s="3" t="s">
        <v>1716</v>
      </c>
      <c r="D10" s="3" t="s">
        <v>1727</v>
      </c>
      <c r="E10" s="3" t="s">
        <v>121</v>
      </c>
    </row>
    <row r="11" spans="1:5" ht="30" x14ac:dyDescent="0.25">
      <c r="A11" s="5" t="s">
        <v>92</v>
      </c>
      <c r="B11" s="3" t="s">
        <v>1728</v>
      </c>
      <c r="C11" s="3" t="s">
        <v>1716</v>
      </c>
      <c r="D11" s="3" t="s">
        <v>1729</v>
      </c>
      <c r="E11" s="3" t="s">
        <v>121</v>
      </c>
    </row>
    <row r="12" spans="1:5" ht="30" x14ac:dyDescent="0.25">
      <c r="A12" s="5" t="s">
        <v>92</v>
      </c>
      <c r="B12" s="3" t="s">
        <v>1730</v>
      </c>
      <c r="C12" s="3" t="s">
        <v>1716</v>
      </c>
      <c r="D12" s="3" t="s">
        <v>1731</v>
      </c>
      <c r="E12" s="3" t="s">
        <v>121</v>
      </c>
    </row>
  </sheetData>
  <mergeCells count="2">
    <mergeCell ref="A1:E1"/>
    <mergeCell ref="A2:E2"/>
  </mergeCells>
  <conditionalFormatting sqref="A5:A12">
    <cfRule type="expression" dxfId="51" priority="1">
      <formula>A5="☑"</formula>
    </cfRule>
  </conditionalFormatting>
  <conditionalFormatting sqref="E5:E12">
    <cfRule type="expression" dxfId="50" priority="2">
      <formula>$E5="P0"</formula>
    </cfRule>
    <cfRule type="expression" dxfId="49" priority="3">
      <formula>$E5="P1"</formula>
    </cfRule>
    <cfRule type="expression" dxfId="48" priority="4">
      <formula>$E5="P2"</formula>
    </cfRule>
  </conditionalFormatting>
  <dataValidations count="1">
    <dataValidation type="list" sqref="A5:A12" xr:uid="{00000000-0002-0000-1B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4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63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1732</v>
      </c>
      <c r="C5" s="3" t="s">
        <v>1733</v>
      </c>
      <c r="D5" s="3" t="s">
        <v>1734</v>
      </c>
      <c r="E5" s="3" t="s">
        <v>121</v>
      </c>
    </row>
    <row r="6" spans="1:5" x14ac:dyDescent="0.25">
      <c r="A6" s="5" t="s">
        <v>92</v>
      </c>
      <c r="B6" s="3" t="s">
        <v>1735</v>
      </c>
      <c r="C6" s="3" t="s">
        <v>1733</v>
      </c>
      <c r="D6" s="3" t="s">
        <v>1736</v>
      </c>
      <c r="E6" s="3" t="s">
        <v>121</v>
      </c>
    </row>
    <row r="7" spans="1:5" x14ac:dyDescent="0.25">
      <c r="A7" s="5" t="s">
        <v>92</v>
      </c>
      <c r="B7" s="3" t="s">
        <v>1737</v>
      </c>
      <c r="C7" s="3" t="s">
        <v>1733</v>
      </c>
      <c r="D7" s="3" t="s">
        <v>1738</v>
      </c>
      <c r="E7" s="3" t="s">
        <v>121</v>
      </c>
    </row>
    <row r="8" spans="1:5" x14ac:dyDescent="0.25">
      <c r="A8" s="5" t="s">
        <v>92</v>
      </c>
      <c r="B8" s="3" t="s">
        <v>1739</v>
      </c>
      <c r="C8" s="3" t="s">
        <v>1733</v>
      </c>
      <c r="D8" s="3" t="s">
        <v>1740</v>
      </c>
      <c r="E8" s="3" t="s">
        <v>121</v>
      </c>
    </row>
    <row r="9" spans="1:5" x14ac:dyDescent="0.25">
      <c r="A9" s="5" t="s">
        <v>92</v>
      </c>
      <c r="B9" s="3" t="s">
        <v>1741</v>
      </c>
      <c r="C9" s="3" t="s">
        <v>1733</v>
      </c>
      <c r="D9" s="3" t="s">
        <v>1742</v>
      </c>
      <c r="E9" s="3" t="s">
        <v>121</v>
      </c>
    </row>
    <row r="10" spans="1:5" x14ac:dyDescent="0.25">
      <c r="A10" s="5" t="s">
        <v>92</v>
      </c>
      <c r="B10" s="3" t="s">
        <v>1743</v>
      </c>
      <c r="C10" s="3" t="s">
        <v>1733</v>
      </c>
      <c r="D10" s="3" t="s">
        <v>1744</v>
      </c>
      <c r="E10" s="3" t="s">
        <v>121</v>
      </c>
    </row>
    <row r="11" spans="1:5" x14ac:dyDescent="0.25">
      <c r="A11" s="5" t="s">
        <v>92</v>
      </c>
      <c r="B11" s="3" t="s">
        <v>1745</v>
      </c>
      <c r="C11" s="3" t="s">
        <v>1733</v>
      </c>
      <c r="D11" s="3" t="s">
        <v>1746</v>
      </c>
      <c r="E11" s="3" t="s">
        <v>121</v>
      </c>
    </row>
    <row r="12" spans="1:5" x14ac:dyDescent="0.25">
      <c r="A12" s="5" t="s">
        <v>92</v>
      </c>
      <c r="B12" s="3" t="s">
        <v>1747</v>
      </c>
      <c r="C12" s="3" t="s">
        <v>1733</v>
      </c>
      <c r="D12" s="3" t="s">
        <v>1748</v>
      </c>
      <c r="E12" s="3" t="s">
        <v>121</v>
      </c>
    </row>
    <row r="13" spans="1:5" x14ac:dyDescent="0.25">
      <c r="A13" s="5" t="s">
        <v>92</v>
      </c>
      <c r="B13" s="3" t="s">
        <v>1749</v>
      </c>
      <c r="C13" s="3" t="s">
        <v>1733</v>
      </c>
      <c r="D13" s="3" t="s">
        <v>1750</v>
      </c>
      <c r="E13" s="3" t="s">
        <v>121</v>
      </c>
    </row>
    <row r="14" spans="1:5" x14ac:dyDescent="0.25">
      <c r="A14" s="5" t="s">
        <v>92</v>
      </c>
      <c r="B14" s="3" t="s">
        <v>1751</v>
      </c>
      <c r="C14" s="3" t="s">
        <v>1733</v>
      </c>
      <c r="D14" s="3" t="s">
        <v>1752</v>
      </c>
      <c r="E14" s="3" t="s">
        <v>121</v>
      </c>
    </row>
  </sheetData>
  <mergeCells count="2">
    <mergeCell ref="A1:E1"/>
    <mergeCell ref="A2:E2"/>
  </mergeCells>
  <conditionalFormatting sqref="A5:A14">
    <cfRule type="expression" dxfId="47" priority="1">
      <formula>A5="☑"</formula>
    </cfRule>
  </conditionalFormatting>
  <conditionalFormatting sqref="E5:E14">
    <cfRule type="expression" dxfId="46" priority="2">
      <formula>$E5="P0"</formula>
    </cfRule>
    <cfRule type="expression" dxfId="45" priority="3">
      <formula>$E5="P1"</formula>
    </cfRule>
    <cfRule type="expression" dxfId="44" priority="4">
      <formula>$E5="P2"</formula>
    </cfRule>
  </conditionalFormatting>
  <dataValidations count="1">
    <dataValidation type="list" sqref="A5:A14" xr:uid="{00000000-0002-0000-1C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2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65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1753</v>
      </c>
      <c r="C5" s="3" t="s">
        <v>1716</v>
      </c>
      <c r="D5" s="3" t="s">
        <v>1754</v>
      </c>
      <c r="E5" s="3" t="s">
        <v>121</v>
      </c>
    </row>
    <row r="6" spans="1:5" x14ac:dyDescent="0.25">
      <c r="A6" s="5" t="s">
        <v>92</v>
      </c>
      <c r="B6" s="3" t="s">
        <v>1755</v>
      </c>
      <c r="C6" s="3" t="s">
        <v>1716</v>
      </c>
      <c r="D6" s="3" t="s">
        <v>1756</v>
      </c>
      <c r="E6" s="3" t="s">
        <v>121</v>
      </c>
    </row>
    <row r="7" spans="1:5" x14ac:dyDescent="0.25">
      <c r="A7" s="5" t="s">
        <v>92</v>
      </c>
      <c r="B7" s="3" t="s">
        <v>1757</v>
      </c>
      <c r="C7" s="3" t="s">
        <v>1716</v>
      </c>
      <c r="D7" s="3" t="s">
        <v>1758</v>
      </c>
      <c r="E7" s="3" t="s">
        <v>121</v>
      </c>
    </row>
    <row r="8" spans="1:5" x14ac:dyDescent="0.25">
      <c r="A8" s="5" t="s">
        <v>92</v>
      </c>
      <c r="B8" s="3" t="s">
        <v>1759</v>
      </c>
      <c r="C8" s="3" t="s">
        <v>1716</v>
      </c>
      <c r="D8" s="3" t="s">
        <v>1760</v>
      </c>
      <c r="E8" s="3" t="s">
        <v>121</v>
      </c>
    </row>
    <row r="9" spans="1:5" x14ac:dyDescent="0.25">
      <c r="A9" s="5" t="s">
        <v>92</v>
      </c>
      <c r="B9" s="3" t="s">
        <v>1761</v>
      </c>
      <c r="C9" s="3" t="s">
        <v>1716</v>
      </c>
      <c r="D9" s="3" t="s">
        <v>1762</v>
      </c>
      <c r="E9" s="3" t="s">
        <v>121</v>
      </c>
    </row>
    <row r="10" spans="1:5" x14ac:dyDescent="0.25">
      <c r="A10" s="5" t="s">
        <v>92</v>
      </c>
      <c r="B10" s="3" t="s">
        <v>1763</v>
      </c>
      <c r="C10" s="3" t="s">
        <v>1716</v>
      </c>
      <c r="D10" s="3" t="s">
        <v>1764</v>
      </c>
      <c r="E10" s="3" t="s">
        <v>121</v>
      </c>
    </row>
    <row r="11" spans="1:5" x14ac:dyDescent="0.25">
      <c r="A11" s="5" t="s">
        <v>92</v>
      </c>
      <c r="B11" s="3" t="s">
        <v>1765</v>
      </c>
      <c r="C11" s="3" t="s">
        <v>1716</v>
      </c>
      <c r="D11" s="3" t="s">
        <v>1766</v>
      </c>
      <c r="E11" s="3" t="s">
        <v>121</v>
      </c>
    </row>
    <row r="12" spans="1:5" x14ac:dyDescent="0.25">
      <c r="A12" s="5" t="s">
        <v>92</v>
      </c>
      <c r="B12" s="3" t="s">
        <v>1767</v>
      </c>
      <c r="C12" s="3" t="s">
        <v>1716</v>
      </c>
      <c r="D12" s="3" t="s">
        <v>1768</v>
      </c>
      <c r="E12" s="3" t="s">
        <v>121</v>
      </c>
    </row>
    <row r="13" spans="1:5" x14ac:dyDescent="0.25">
      <c r="A13" s="5" t="s">
        <v>92</v>
      </c>
      <c r="B13" s="3" t="s">
        <v>1769</v>
      </c>
      <c r="C13" s="3" t="s">
        <v>1716</v>
      </c>
      <c r="D13" s="3" t="s">
        <v>1770</v>
      </c>
      <c r="E13" s="3" t="s">
        <v>121</v>
      </c>
    </row>
    <row r="14" spans="1:5" x14ac:dyDescent="0.25">
      <c r="A14" s="5" t="s">
        <v>92</v>
      </c>
      <c r="B14" s="3" t="s">
        <v>1771</v>
      </c>
      <c r="C14" s="3" t="s">
        <v>1716</v>
      </c>
      <c r="D14" s="3" t="s">
        <v>1772</v>
      </c>
      <c r="E14" s="3" t="s">
        <v>121</v>
      </c>
    </row>
    <row r="15" spans="1:5" x14ac:dyDescent="0.25">
      <c r="A15" s="5" t="s">
        <v>92</v>
      </c>
      <c r="B15" s="3" t="s">
        <v>1773</v>
      </c>
      <c r="C15" s="3" t="s">
        <v>1716</v>
      </c>
      <c r="D15" s="3" t="s">
        <v>1774</v>
      </c>
      <c r="E15" s="3" t="s">
        <v>121</v>
      </c>
    </row>
    <row r="16" spans="1:5" x14ac:dyDescent="0.25">
      <c r="A16" s="5" t="s">
        <v>92</v>
      </c>
      <c r="B16" s="3" t="s">
        <v>1775</v>
      </c>
      <c r="C16" s="3" t="s">
        <v>1716</v>
      </c>
      <c r="D16" s="3" t="s">
        <v>1776</v>
      </c>
      <c r="E16" s="3" t="s">
        <v>121</v>
      </c>
    </row>
    <row r="17" spans="1:5" x14ac:dyDescent="0.25">
      <c r="A17" s="5" t="s">
        <v>92</v>
      </c>
      <c r="B17" s="3" t="s">
        <v>1777</v>
      </c>
      <c r="C17" s="3" t="s">
        <v>1716</v>
      </c>
      <c r="D17" s="3" t="s">
        <v>1778</v>
      </c>
      <c r="E17" s="3" t="s">
        <v>121</v>
      </c>
    </row>
    <row r="18" spans="1:5" x14ac:dyDescent="0.25">
      <c r="A18" s="5" t="s">
        <v>92</v>
      </c>
      <c r="B18" s="3" t="s">
        <v>1779</v>
      </c>
      <c r="C18" s="3" t="s">
        <v>1716</v>
      </c>
      <c r="D18" s="3" t="s">
        <v>1780</v>
      </c>
      <c r="E18" s="3" t="s">
        <v>121</v>
      </c>
    </row>
    <row r="19" spans="1:5" x14ac:dyDescent="0.25">
      <c r="A19" s="5" t="s">
        <v>92</v>
      </c>
      <c r="B19" s="3" t="s">
        <v>1781</v>
      </c>
      <c r="C19" s="3" t="s">
        <v>1716</v>
      </c>
      <c r="D19" s="3" t="s">
        <v>1782</v>
      </c>
      <c r="E19" s="3" t="s">
        <v>121</v>
      </c>
    </row>
    <row r="20" spans="1:5" x14ac:dyDescent="0.25">
      <c r="A20" s="5" t="s">
        <v>92</v>
      </c>
      <c r="B20" s="3" t="s">
        <v>1783</v>
      </c>
      <c r="C20" s="3" t="s">
        <v>1716</v>
      </c>
      <c r="D20" s="3" t="s">
        <v>1784</v>
      </c>
      <c r="E20" s="3" t="s">
        <v>121</v>
      </c>
    </row>
    <row r="21" spans="1:5" x14ac:dyDescent="0.25">
      <c r="A21" s="5" t="s">
        <v>92</v>
      </c>
      <c r="B21" s="3" t="s">
        <v>1785</v>
      </c>
      <c r="C21" s="3" t="s">
        <v>1716</v>
      </c>
      <c r="D21" s="3" t="s">
        <v>1786</v>
      </c>
      <c r="E21" s="3" t="s">
        <v>121</v>
      </c>
    </row>
    <row r="22" spans="1:5" x14ac:dyDescent="0.25">
      <c r="A22" s="5" t="s">
        <v>92</v>
      </c>
      <c r="B22" s="3" t="s">
        <v>1787</v>
      </c>
      <c r="C22" s="3" t="s">
        <v>1716</v>
      </c>
      <c r="D22" s="3" t="s">
        <v>1788</v>
      </c>
      <c r="E22" s="3" t="s">
        <v>121</v>
      </c>
    </row>
    <row r="23" spans="1:5" x14ac:dyDescent="0.25">
      <c r="A23" s="5" t="s">
        <v>92</v>
      </c>
      <c r="B23" s="3" t="s">
        <v>1789</v>
      </c>
      <c r="C23" s="3" t="s">
        <v>1716</v>
      </c>
      <c r="D23" s="3" t="s">
        <v>1790</v>
      </c>
      <c r="E23" s="3" t="s">
        <v>121</v>
      </c>
    </row>
    <row r="24" spans="1:5" x14ac:dyDescent="0.25">
      <c r="A24" s="5" t="s">
        <v>92</v>
      </c>
      <c r="B24" s="3" t="s">
        <v>1791</v>
      </c>
      <c r="C24" s="3" t="s">
        <v>1716</v>
      </c>
      <c r="D24" s="3" t="s">
        <v>1792</v>
      </c>
      <c r="E24" s="3" t="s">
        <v>121</v>
      </c>
    </row>
    <row r="25" spans="1:5" x14ac:dyDescent="0.25">
      <c r="A25" s="5" t="s">
        <v>92</v>
      </c>
      <c r="B25" s="3" t="s">
        <v>1793</v>
      </c>
      <c r="C25" s="3" t="s">
        <v>1716</v>
      </c>
      <c r="D25" s="3" t="s">
        <v>1794</v>
      </c>
      <c r="E25" s="3" t="s">
        <v>121</v>
      </c>
    </row>
    <row r="26" spans="1:5" x14ac:dyDescent="0.25">
      <c r="A26" s="5" t="s">
        <v>92</v>
      </c>
      <c r="B26" s="3" t="s">
        <v>1795</v>
      </c>
      <c r="C26" s="3" t="s">
        <v>1716</v>
      </c>
      <c r="D26" s="3" t="s">
        <v>1796</v>
      </c>
      <c r="E26" s="3" t="s">
        <v>121</v>
      </c>
    </row>
    <row r="27" spans="1:5" x14ac:dyDescent="0.25">
      <c r="A27" s="5" t="s">
        <v>92</v>
      </c>
      <c r="B27" s="3" t="s">
        <v>1797</v>
      </c>
      <c r="C27" s="3" t="s">
        <v>1716</v>
      </c>
      <c r="D27" s="3" t="s">
        <v>1798</v>
      </c>
      <c r="E27" s="3" t="s">
        <v>121</v>
      </c>
    </row>
    <row r="28" spans="1:5" x14ac:dyDescent="0.25">
      <c r="A28" s="5" t="s">
        <v>92</v>
      </c>
      <c r="B28" s="3" t="s">
        <v>1799</v>
      </c>
      <c r="C28" s="3" t="s">
        <v>1716</v>
      </c>
      <c r="D28" s="3" t="s">
        <v>1800</v>
      </c>
      <c r="E28" s="3" t="s">
        <v>121</v>
      </c>
    </row>
    <row r="29" spans="1:5" x14ac:dyDescent="0.25">
      <c r="A29" s="5" t="s">
        <v>92</v>
      </c>
      <c r="B29" s="3" t="s">
        <v>1801</v>
      </c>
      <c r="C29" s="3" t="s">
        <v>1716</v>
      </c>
      <c r="D29" s="3" t="s">
        <v>1802</v>
      </c>
      <c r="E29" s="3" t="s">
        <v>121</v>
      </c>
    </row>
    <row r="30" spans="1:5" x14ac:dyDescent="0.25">
      <c r="A30" s="5" t="s">
        <v>92</v>
      </c>
      <c r="B30" s="3" t="s">
        <v>1803</v>
      </c>
      <c r="C30" s="3" t="s">
        <v>1716</v>
      </c>
      <c r="D30" s="3" t="s">
        <v>1804</v>
      </c>
      <c r="E30" s="3" t="s">
        <v>121</v>
      </c>
    </row>
    <row r="31" spans="1:5" x14ac:dyDescent="0.25">
      <c r="A31" s="5" t="s">
        <v>92</v>
      </c>
      <c r="B31" s="3" t="s">
        <v>1805</v>
      </c>
      <c r="C31" s="3" t="s">
        <v>1716</v>
      </c>
      <c r="D31" s="3" t="s">
        <v>1806</v>
      </c>
      <c r="E31" s="3" t="s">
        <v>121</v>
      </c>
    </row>
    <row r="32" spans="1:5" x14ac:dyDescent="0.25">
      <c r="A32" s="5" t="s">
        <v>92</v>
      </c>
      <c r="B32" s="3" t="s">
        <v>1807</v>
      </c>
      <c r="C32" s="3" t="s">
        <v>1716</v>
      </c>
      <c r="D32" s="3" t="s">
        <v>1808</v>
      </c>
      <c r="E32" s="3" t="s">
        <v>121</v>
      </c>
    </row>
  </sheetData>
  <mergeCells count="2">
    <mergeCell ref="A1:E1"/>
    <mergeCell ref="A2:E2"/>
  </mergeCells>
  <conditionalFormatting sqref="A5:A32">
    <cfRule type="expression" dxfId="43" priority="1">
      <formula>A5="☑"</formula>
    </cfRule>
  </conditionalFormatting>
  <conditionalFormatting sqref="E5:E32">
    <cfRule type="expression" dxfId="42" priority="2">
      <formula>$E5="P0"</formula>
    </cfRule>
    <cfRule type="expression" dxfId="41" priority="3">
      <formula>$E5="P1"</formula>
    </cfRule>
    <cfRule type="expression" dxfId="40" priority="4">
      <formula>$E5="P2"</formula>
    </cfRule>
  </conditionalFormatting>
  <dataValidations count="1">
    <dataValidation type="list" sqref="A5:A32" xr:uid="{00000000-0002-0000-1D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0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67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1059</v>
      </c>
      <c r="C5" s="3" t="s">
        <v>1060</v>
      </c>
      <c r="D5" s="3" t="s">
        <v>1809</v>
      </c>
      <c r="E5" s="3" t="s">
        <v>121</v>
      </c>
    </row>
    <row r="6" spans="1:5" ht="30" x14ac:dyDescent="0.25">
      <c r="A6" s="5" t="s">
        <v>92</v>
      </c>
      <c r="B6" s="3" t="s">
        <v>1078</v>
      </c>
      <c r="C6" s="3" t="s">
        <v>1060</v>
      </c>
      <c r="D6" s="3" t="s">
        <v>1810</v>
      </c>
      <c r="E6" s="3" t="s">
        <v>121</v>
      </c>
    </row>
    <row r="7" spans="1:5" ht="30" x14ac:dyDescent="0.25">
      <c r="A7" s="5" t="s">
        <v>92</v>
      </c>
      <c r="B7" s="3" t="s">
        <v>1096</v>
      </c>
      <c r="C7" s="3" t="s">
        <v>1060</v>
      </c>
      <c r="D7" s="3" t="s">
        <v>1811</v>
      </c>
      <c r="E7" s="3" t="s">
        <v>121</v>
      </c>
    </row>
    <row r="8" spans="1:5" ht="30" x14ac:dyDescent="0.25">
      <c r="A8" s="5" t="s">
        <v>92</v>
      </c>
      <c r="B8" s="3" t="s">
        <v>1114</v>
      </c>
      <c r="C8" s="3" t="s">
        <v>1060</v>
      </c>
      <c r="D8" s="3" t="s">
        <v>1812</v>
      </c>
      <c r="E8" s="3" t="s">
        <v>121</v>
      </c>
    </row>
    <row r="9" spans="1:5" ht="30" x14ac:dyDescent="0.25">
      <c r="A9" s="5" t="s">
        <v>92</v>
      </c>
      <c r="B9" s="3" t="s">
        <v>1132</v>
      </c>
      <c r="C9" s="3" t="s">
        <v>1060</v>
      </c>
      <c r="D9" s="3" t="s">
        <v>1813</v>
      </c>
      <c r="E9" s="3" t="s">
        <v>121</v>
      </c>
    </row>
    <row r="10" spans="1:5" ht="30" x14ac:dyDescent="0.25">
      <c r="A10" s="5" t="s">
        <v>92</v>
      </c>
      <c r="B10" s="3" t="s">
        <v>1150</v>
      </c>
      <c r="C10" s="3" t="s">
        <v>1060</v>
      </c>
      <c r="D10" s="3" t="s">
        <v>1814</v>
      </c>
      <c r="E10" s="3" t="s">
        <v>121</v>
      </c>
    </row>
  </sheetData>
  <mergeCells count="2">
    <mergeCell ref="A1:E1"/>
    <mergeCell ref="A2:E2"/>
  </mergeCells>
  <conditionalFormatting sqref="A5:A10">
    <cfRule type="expression" dxfId="39" priority="1">
      <formula>A5="☑"</formula>
    </cfRule>
  </conditionalFormatting>
  <conditionalFormatting sqref="E5:E10">
    <cfRule type="expression" dxfId="38" priority="2">
      <formula>$E5="P0"</formula>
    </cfRule>
    <cfRule type="expression" dxfId="37" priority="3">
      <formula>$E5="P1"</formula>
    </cfRule>
    <cfRule type="expression" dxfId="36" priority="4">
      <formula>$E5="P2"</formula>
    </cfRule>
  </conditionalFormatting>
  <dataValidations count="1">
    <dataValidation type="list" sqref="A5:A10" xr:uid="{00000000-0002-0000-1E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2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69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1815</v>
      </c>
      <c r="C5" s="3" t="s">
        <v>1816</v>
      </c>
      <c r="D5" s="3" t="s">
        <v>1817</v>
      </c>
      <c r="E5" s="3" t="s">
        <v>116</v>
      </c>
    </row>
    <row r="6" spans="1:5" x14ac:dyDescent="0.25">
      <c r="A6" s="5" t="s">
        <v>92</v>
      </c>
      <c r="B6" s="3" t="s">
        <v>1818</v>
      </c>
      <c r="C6" s="3" t="s">
        <v>1816</v>
      </c>
      <c r="D6" s="3" t="s">
        <v>1819</v>
      </c>
      <c r="E6" s="3" t="s">
        <v>121</v>
      </c>
    </row>
    <row r="7" spans="1:5" x14ac:dyDescent="0.25">
      <c r="A7" s="5" t="s">
        <v>92</v>
      </c>
      <c r="B7" s="3" t="s">
        <v>1820</v>
      </c>
      <c r="C7" s="3" t="s">
        <v>1816</v>
      </c>
      <c r="D7" s="3" t="s">
        <v>1821</v>
      </c>
      <c r="E7" s="3" t="s">
        <v>121</v>
      </c>
    </row>
    <row r="8" spans="1:5" x14ac:dyDescent="0.25">
      <c r="A8" s="5" t="s">
        <v>92</v>
      </c>
      <c r="B8" s="3" t="s">
        <v>1822</v>
      </c>
      <c r="C8" s="3" t="s">
        <v>1816</v>
      </c>
      <c r="D8" s="3" t="s">
        <v>1823</v>
      </c>
      <c r="E8" s="3" t="s">
        <v>121</v>
      </c>
    </row>
    <row r="9" spans="1:5" ht="30" x14ac:dyDescent="0.25">
      <c r="A9" s="5" t="s">
        <v>92</v>
      </c>
      <c r="B9" s="3" t="s">
        <v>1824</v>
      </c>
      <c r="C9" s="3" t="s">
        <v>1825</v>
      </c>
      <c r="D9" s="3" t="s">
        <v>1826</v>
      </c>
      <c r="E9" s="3" t="s">
        <v>121</v>
      </c>
    </row>
    <row r="10" spans="1:5" x14ac:dyDescent="0.25">
      <c r="A10" s="5" t="s">
        <v>92</v>
      </c>
      <c r="B10" s="3" t="s">
        <v>1827</v>
      </c>
      <c r="C10" s="3" t="s">
        <v>1825</v>
      </c>
      <c r="D10" s="3" t="s">
        <v>1828</v>
      </c>
      <c r="E10" s="3" t="s">
        <v>121</v>
      </c>
    </row>
    <row r="11" spans="1:5" ht="30" x14ac:dyDescent="0.25">
      <c r="A11" s="5" t="s">
        <v>92</v>
      </c>
      <c r="B11" s="3" t="s">
        <v>1829</v>
      </c>
      <c r="C11" s="3" t="s">
        <v>1825</v>
      </c>
      <c r="D11" s="3" t="s">
        <v>1830</v>
      </c>
      <c r="E11" s="3" t="s">
        <v>121</v>
      </c>
    </row>
    <row r="12" spans="1:5" x14ac:dyDescent="0.25">
      <c r="A12" s="5" t="s">
        <v>92</v>
      </c>
      <c r="B12" s="3" t="s">
        <v>1831</v>
      </c>
      <c r="C12" s="3" t="s">
        <v>1825</v>
      </c>
      <c r="D12" s="3" t="s">
        <v>1832</v>
      </c>
      <c r="E12" s="3" t="s">
        <v>121</v>
      </c>
    </row>
  </sheetData>
  <mergeCells count="2">
    <mergeCell ref="A1:E1"/>
    <mergeCell ref="A2:E2"/>
  </mergeCells>
  <conditionalFormatting sqref="A5:A12">
    <cfRule type="expression" dxfId="35" priority="1">
      <formula>A5="☑"</formula>
    </cfRule>
  </conditionalFormatting>
  <conditionalFormatting sqref="E5:E12">
    <cfRule type="expression" dxfId="34" priority="2">
      <formula>$E5="P0"</formula>
    </cfRule>
    <cfRule type="expression" dxfId="33" priority="3">
      <formula>$E5="P1"</formula>
    </cfRule>
    <cfRule type="expression" dxfId="32" priority="4">
      <formula>$E5="P2"</formula>
    </cfRule>
  </conditionalFormatting>
  <dataValidations count="1">
    <dataValidation type="list" sqref="A5:A12" xr:uid="{00000000-0002-0000-1F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44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71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ht="30" x14ac:dyDescent="0.25">
      <c r="A5" s="5" t="s">
        <v>92</v>
      </c>
      <c r="B5" s="3" t="s">
        <v>1833</v>
      </c>
      <c r="C5" s="3" t="s">
        <v>1834</v>
      </c>
      <c r="D5" s="3" t="s">
        <v>1835</v>
      </c>
      <c r="E5" s="3" t="s">
        <v>142</v>
      </c>
    </row>
    <row r="6" spans="1:5" ht="30" x14ac:dyDescent="0.25">
      <c r="A6" s="5" t="s">
        <v>92</v>
      </c>
      <c r="B6" s="3" t="s">
        <v>1836</v>
      </c>
      <c r="C6" s="3" t="s">
        <v>1834</v>
      </c>
      <c r="D6" s="3" t="s">
        <v>1837</v>
      </c>
      <c r="E6" s="3" t="s">
        <v>142</v>
      </c>
    </row>
    <row r="7" spans="1:5" ht="30" x14ac:dyDescent="0.25">
      <c r="A7" s="5" t="s">
        <v>92</v>
      </c>
      <c r="B7" s="3" t="s">
        <v>1838</v>
      </c>
      <c r="C7" s="3" t="s">
        <v>1834</v>
      </c>
      <c r="D7" s="3" t="s">
        <v>1839</v>
      </c>
      <c r="E7" s="3" t="s">
        <v>142</v>
      </c>
    </row>
    <row r="8" spans="1:5" ht="30" x14ac:dyDescent="0.25">
      <c r="A8" s="5" t="s">
        <v>92</v>
      </c>
      <c r="B8" s="3" t="s">
        <v>1840</v>
      </c>
      <c r="C8" s="3" t="s">
        <v>1834</v>
      </c>
      <c r="D8" s="3" t="s">
        <v>1841</v>
      </c>
      <c r="E8" s="3" t="s">
        <v>142</v>
      </c>
    </row>
    <row r="9" spans="1:5" x14ac:dyDescent="0.25">
      <c r="A9" s="5" t="s">
        <v>92</v>
      </c>
      <c r="B9" s="3" t="s">
        <v>1842</v>
      </c>
      <c r="C9" s="3" t="s">
        <v>1843</v>
      </c>
      <c r="D9" s="3" t="s">
        <v>1844</v>
      </c>
      <c r="E9" s="3" t="s">
        <v>142</v>
      </c>
    </row>
    <row r="10" spans="1:5" ht="30" x14ac:dyDescent="0.25">
      <c r="A10" s="5" t="s">
        <v>92</v>
      </c>
      <c r="B10" s="3" t="s">
        <v>1845</v>
      </c>
      <c r="C10" s="3" t="s">
        <v>1834</v>
      </c>
      <c r="D10" s="3" t="s">
        <v>1846</v>
      </c>
      <c r="E10" s="3" t="s">
        <v>142</v>
      </c>
    </row>
    <row r="11" spans="1:5" ht="30" x14ac:dyDescent="0.25">
      <c r="A11" s="5" t="s">
        <v>92</v>
      </c>
      <c r="B11" s="3" t="s">
        <v>1847</v>
      </c>
      <c r="C11" s="3" t="s">
        <v>1834</v>
      </c>
      <c r="D11" s="3" t="s">
        <v>1848</v>
      </c>
      <c r="E11" s="3" t="s">
        <v>142</v>
      </c>
    </row>
    <row r="12" spans="1:5" ht="30" x14ac:dyDescent="0.25">
      <c r="A12" s="5" t="s">
        <v>92</v>
      </c>
      <c r="B12" s="3" t="s">
        <v>1849</v>
      </c>
      <c r="C12" s="3" t="s">
        <v>1834</v>
      </c>
      <c r="D12" s="3" t="s">
        <v>1850</v>
      </c>
      <c r="E12" s="3" t="s">
        <v>142</v>
      </c>
    </row>
    <row r="13" spans="1:5" ht="30" x14ac:dyDescent="0.25">
      <c r="A13" s="5" t="s">
        <v>92</v>
      </c>
      <c r="B13" s="3" t="s">
        <v>1851</v>
      </c>
      <c r="C13" s="3" t="s">
        <v>1834</v>
      </c>
      <c r="D13" s="3" t="s">
        <v>1852</v>
      </c>
      <c r="E13" s="3" t="s">
        <v>142</v>
      </c>
    </row>
    <row r="14" spans="1:5" x14ac:dyDescent="0.25">
      <c r="A14" s="5" t="s">
        <v>92</v>
      </c>
      <c r="B14" s="3" t="s">
        <v>1853</v>
      </c>
      <c r="C14" s="3" t="s">
        <v>1843</v>
      </c>
      <c r="D14" s="3" t="s">
        <v>1854</v>
      </c>
      <c r="E14" s="3" t="s">
        <v>142</v>
      </c>
    </row>
    <row r="15" spans="1:5" ht="30" x14ac:dyDescent="0.25">
      <c r="A15" s="5" t="s">
        <v>92</v>
      </c>
      <c r="B15" s="3" t="s">
        <v>1855</v>
      </c>
      <c r="C15" s="3" t="s">
        <v>1834</v>
      </c>
      <c r="D15" s="3" t="s">
        <v>1856</v>
      </c>
      <c r="E15" s="3" t="s">
        <v>142</v>
      </c>
    </row>
    <row r="16" spans="1:5" ht="30" x14ac:dyDescent="0.25">
      <c r="A16" s="5" t="s">
        <v>92</v>
      </c>
      <c r="B16" s="3" t="s">
        <v>1857</v>
      </c>
      <c r="C16" s="3" t="s">
        <v>1834</v>
      </c>
      <c r="D16" s="3" t="s">
        <v>1858</v>
      </c>
      <c r="E16" s="3" t="s">
        <v>142</v>
      </c>
    </row>
    <row r="17" spans="1:5" ht="30" x14ac:dyDescent="0.25">
      <c r="A17" s="5" t="s">
        <v>92</v>
      </c>
      <c r="B17" s="3" t="s">
        <v>1859</v>
      </c>
      <c r="C17" s="3" t="s">
        <v>1834</v>
      </c>
      <c r="D17" s="3" t="s">
        <v>1860</v>
      </c>
      <c r="E17" s="3" t="s">
        <v>142</v>
      </c>
    </row>
    <row r="18" spans="1:5" ht="30" x14ac:dyDescent="0.25">
      <c r="A18" s="5" t="s">
        <v>92</v>
      </c>
      <c r="B18" s="3" t="s">
        <v>1861</v>
      </c>
      <c r="C18" s="3" t="s">
        <v>1834</v>
      </c>
      <c r="D18" s="3" t="s">
        <v>1862</v>
      </c>
      <c r="E18" s="3" t="s">
        <v>142</v>
      </c>
    </row>
    <row r="19" spans="1:5" x14ac:dyDescent="0.25">
      <c r="A19" s="5" t="s">
        <v>92</v>
      </c>
      <c r="B19" s="3" t="s">
        <v>1863</v>
      </c>
      <c r="C19" s="3" t="s">
        <v>1843</v>
      </c>
      <c r="D19" s="3" t="s">
        <v>1864</v>
      </c>
      <c r="E19" s="3" t="s">
        <v>142</v>
      </c>
    </row>
    <row r="20" spans="1:5" ht="30" x14ac:dyDescent="0.25">
      <c r="A20" s="5" t="s">
        <v>92</v>
      </c>
      <c r="B20" s="3" t="s">
        <v>1865</v>
      </c>
      <c r="C20" s="3" t="s">
        <v>1834</v>
      </c>
      <c r="D20" s="3" t="s">
        <v>1866</v>
      </c>
      <c r="E20" s="3" t="s">
        <v>142</v>
      </c>
    </row>
    <row r="21" spans="1:5" ht="30" x14ac:dyDescent="0.25">
      <c r="A21" s="5" t="s">
        <v>92</v>
      </c>
      <c r="B21" s="3" t="s">
        <v>1867</v>
      </c>
      <c r="C21" s="3" t="s">
        <v>1834</v>
      </c>
      <c r="D21" s="3" t="s">
        <v>1868</v>
      </c>
      <c r="E21" s="3" t="s">
        <v>142</v>
      </c>
    </row>
    <row r="22" spans="1:5" ht="30" x14ac:dyDescent="0.25">
      <c r="A22" s="5" t="s">
        <v>92</v>
      </c>
      <c r="B22" s="3" t="s">
        <v>1869</v>
      </c>
      <c r="C22" s="3" t="s">
        <v>1834</v>
      </c>
      <c r="D22" s="3" t="s">
        <v>1870</v>
      </c>
      <c r="E22" s="3" t="s">
        <v>142</v>
      </c>
    </row>
    <row r="23" spans="1:5" ht="30" x14ac:dyDescent="0.25">
      <c r="A23" s="5" t="s">
        <v>92</v>
      </c>
      <c r="B23" s="3" t="s">
        <v>1871</v>
      </c>
      <c r="C23" s="3" t="s">
        <v>1834</v>
      </c>
      <c r="D23" s="3" t="s">
        <v>1872</v>
      </c>
      <c r="E23" s="3" t="s">
        <v>142</v>
      </c>
    </row>
    <row r="24" spans="1:5" x14ac:dyDescent="0.25">
      <c r="A24" s="5" t="s">
        <v>92</v>
      </c>
      <c r="B24" s="3" t="s">
        <v>1873</v>
      </c>
      <c r="C24" s="3" t="s">
        <v>1843</v>
      </c>
      <c r="D24" s="3" t="s">
        <v>1874</v>
      </c>
      <c r="E24" s="3" t="s">
        <v>142</v>
      </c>
    </row>
    <row r="25" spans="1:5" ht="30" x14ac:dyDescent="0.25">
      <c r="A25" s="5" t="s">
        <v>92</v>
      </c>
      <c r="B25" s="3" t="s">
        <v>1875</v>
      </c>
      <c r="C25" s="3" t="s">
        <v>1834</v>
      </c>
      <c r="D25" s="3" t="s">
        <v>1876</v>
      </c>
      <c r="E25" s="3" t="s">
        <v>142</v>
      </c>
    </row>
    <row r="26" spans="1:5" ht="30" x14ac:dyDescent="0.25">
      <c r="A26" s="5" t="s">
        <v>92</v>
      </c>
      <c r="B26" s="3" t="s">
        <v>1877</v>
      </c>
      <c r="C26" s="3" t="s">
        <v>1834</v>
      </c>
      <c r="D26" s="3" t="s">
        <v>1878</v>
      </c>
      <c r="E26" s="3" t="s">
        <v>142</v>
      </c>
    </row>
    <row r="27" spans="1:5" ht="30" x14ac:dyDescent="0.25">
      <c r="A27" s="5" t="s">
        <v>92</v>
      </c>
      <c r="B27" s="3" t="s">
        <v>1879</v>
      </c>
      <c r="C27" s="3" t="s">
        <v>1834</v>
      </c>
      <c r="D27" s="3" t="s">
        <v>1880</v>
      </c>
      <c r="E27" s="3" t="s">
        <v>142</v>
      </c>
    </row>
    <row r="28" spans="1:5" ht="30" x14ac:dyDescent="0.25">
      <c r="A28" s="5" t="s">
        <v>92</v>
      </c>
      <c r="B28" s="3" t="s">
        <v>1881</v>
      </c>
      <c r="C28" s="3" t="s">
        <v>1834</v>
      </c>
      <c r="D28" s="3" t="s">
        <v>1882</v>
      </c>
      <c r="E28" s="3" t="s">
        <v>142</v>
      </c>
    </row>
    <row r="29" spans="1:5" x14ac:dyDescent="0.25">
      <c r="A29" s="5" t="s">
        <v>92</v>
      </c>
      <c r="B29" s="3" t="s">
        <v>1883</v>
      </c>
      <c r="C29" s="3" t="s">
        <v>1843</v>
      </c>
      <c r="D29" s="3" t="s">
        <v>1884</v>
      </c>
      <c r="E29" s="3" t="s">
        <v>142</v>
      </c>
    </row>
    <row r="30" spans="1:5" ht="30" x14ac:dyDescent="0.25">
      <c r="A30" s="5" t="s">
        <v>92</v>
      </c>
      <c r="B30" s="3" t="s">
        <v>1885</v>
      </c>
      <c r="C30" s="3" t="s">
        <v>1834</v>
      </c>
      <c r="D30" s="3" t="s">
        <v>1886</v>
      </c>
      <c r="E30" s="3" t="s">
        <v>142</v>
      </c>
    </row>
    <row r="31" spans="1:5" ht="30" x14ac:dyDescent="0.25">
      <c r="A31" s="5" t="s">
        <v>92</v>
      </c>
      <c r="B31" s="3" t="s">
        <v>1887</v>
      </c>
      <c r="C31" s="3" t="s">
        <v>1834</v>
      </c>
      <c r="D31" s="3" t="s">
        <v>1888</v>
      </c>
      <c r="E31" s="3" t="s">
        <v>142</v>
      </c>
    </row>
    <row r="32" spans="1:5" ht="30" x14ac:dyDescent="0.25">
      <c r="A32" s="5" t="s">
        <v>92</v>
      </c>
      <c r="B32" s="3" t="s">
        <v>1889</v>
      </c>
      <c r="C32" s="3" t="s">
        <v>1834</v>
      </c>
      <c r="D32" s="3" t="s">
        <v>1890</v>
      </c>
      <c r="E32" s="3" t="s">
        <v>142</v>
      </c>
    </row>
    <row r="33" spans="1:5" ht="30" x14ac:dyDescent="0.25">
      <c r="A33" s="5" t="s">
        <v>92</v>
      </c>
      <c r="B33" s="3" t="s">
        <v>1891</v>
      </c>
      <c r="C33" s="3" t="s">
        <v>1834</v>
      </c>
      <c r="D33" s="3" t="s">
        <v>1892</v>
      </c>
      <c r="E33" s="3" t="s">
        <v>142</v>
      </c>
    </row>
    <row r="34" spans="1:5" x14ac:dyDescent="0.25">
      <c r="A34" s="5" t="s">
        <v>92</v>
      </c>
      <c r="B34" s="3" t="s">
        <v>1893</v>
      </c>
      <c r="C34" s="3" t="s">
        <v>1843</v>
      </c>
      <c r="D34" s="3" t="s">
        <v>1894</v>
      </c>
      <c r="E34" s="3" t="s">
        <v>142</v>
      </c>
    </row>
    <row r="35" spans="1:5" ht="30" x14ac:dyDescent="0.25">
      <c r="A35" s="5" t="s">
        <v>92</v>
      </c>
      <c r="B35" s="3" t="s">
        <v>1895</v>
      </c>
      <c r="C35" s="3" t="s">
        <v>1834</v>
      </c>
      <c r="D35" s="3" t="s">
        <v>1896</v>
      </c>
      <c r="E35" s="3" t="s">
        <v>142</v>
      </c>
    </row>
    <row r="36" spans="1:5" ht="30" x14ac:dyDescent="0.25">
      <c r="A36" s="5" t="s">
        <v>92</v>
      </c>
      <c r="B36" s="3" t="s">
        <v>1897</v>
      </c>
      <c r="C36" s="3" t="s">
        <v>1834</v>
      </c>
      <c r="D36" s="3" t="s">
        <v>1898</v>
      </c>
      <c r="E36" s="3" t="s">
        <v>142</v>
      </c>
    </row>
    <row r="37" spans="1:5" ht="30" x14ac:dyDescent="0.25">
      <c r="A37" s="5" t="s">
        <v>92</v>
      </c>
      <c r="B37" s="3" t="s">
        <v>1899</v>
      </c>
      <c r="C37" s="3" t="s">
        <v>1834</v>
      </c>
      <c r="D37" s="3" t="s">
        <v>1900</v>
      </c>
      <c r="E37" s="3" t="s">
        <v>142</v>
      </c>
    </row>
    <row r="38" spans="1:5" ht="30" x14ac:dyDescent="0.25">
      <c r="A38" s="5" t="s">
        <v>92</v>
      </c>
      <c r="B38" s="3" t="s">
        <v>1901</v>
      </c>
      <c r="C38" s="3" t="s">
        <v>1834</v>
      </c>
      <c r="D38" s="3" t="s">
        <v>1902</v>
      </c>
      <c r="E38" s="3" t="s">
        <v>142</v>
      </c>
    </row>
    <row r="39" spans="1:5" x14ac:dyDescent="0.25">
      <c r="A39" s="5" t="s">
        <v>92</v>
      </c>
      <c r="B39" s="3" t="s">
        <v>1903</v>
      </c>
      <c r="C39" s="3" t="s">
        <v>1843</v>
      </c>
      <c r="D39" s="3" t="s">
        <v>1904</v>
      </c>
      <c r="E39" s="3" t="s">
        <v>142</v>
      </c>
    </row>
    <row r="40" spans="1:5" ht="30" x14ac:dyDescent="0.25">
      <c r="A40" s="5" t="s">
        <v>92</v>
      </c>
      <c r="B40" s="3" t="s">
        <v>1905</v>
      </c>
      <c r="C40" s="3" t="s">
        <v>1834</v>
      </c>
      <c r="D40" s="3" t="s">
        <v>1906</v>
      </c>
      <c r="E40" s="3" t="s">
        <v>142</v>
      </c>
    </row>
    <row r="41" spans="1:5" ht="30" x14ac:dyDescent="0.25">
      <c r="A41" s="5" t="s">
        <v>92</v>
      </c>
      <c r="B41" s="3" t="s">
        <v>1907</v>
      </c>
      <c r="C41" s="3" t="s">
        <v>1834</v>
      </c>
      <c r="D41" s="3" t="s">
        <v>1908</v>
      </c>
      <c r="E41" s="3" t="s">
        <v>142</v>
      </c>
    </row>
    <row r="42" spans="1:5" ht="30" x14ac:dyDescent="0.25">
      <c r="A42" s="5" t="s">
        <v>92</v>
      </c>
      <c r="B42" s="3" t="s">
        <v>1909</v>
      </c>
      <c r="C42" s="3" t="s">
        <v>1834</v>
      </c>
      <c r="D42" s="3" t="s">
        <v>1910</v>
      </c>
      <c r="E42" s="3" t="s">
        <v>142</v>
      </c>
    </row>
    <row r="43" spans="1:5" ht="30" x14ac:dyDescent="0.25">
      <c r="A43" s="5" t="s">
        <v>92</v>
      </c>
      <c r="B43" s="3" t="s">
        <v>1911</v>
      </c>
      <c r="C43" s="3" t="s">
        <v>1834</v>
      </c>
      <c r="D43" s="3" t="s">
        <v>1912</v>
      </c>
      <c r="E43" s="3" t="s">
        <v>142</v>
      </c>
    </row>
    <row r="44" spans="1:5" x14ac:dyDescent="0.25">
      <c r="A44" s="5" t="s">
        <v>92</v>
      </c>
      <c r="B44" s="3" t="s">
        <v>1913</v>
      </c>
      <c r="C44" s="3" t="s">
        <v>1843</v>
      </c>
      <c r="D44" s="3" t="s">
        <v>1914</v>
      </c>
      <c r="E44" s="3" t="s">
        <v>142</v>
      </c>
    </row>
  </sheetData>
  <mergeCells count="2">
    <mergeCell ref="A1:E1"/>
    <mergeCell ref="A2:E2"/>
  </mergeCells>
  <conditionalFormatting sqref="A5:A44">
    <cfRule type="expression" dxfId="31" priority="1">
      <formula>A5="☑"</formula>
    </cfRule>
  </conditionalFormatting>
  <conditionalFormatting sqref="E5:E44">
    <cfRule type="expression" dxfId="30" priority="2">
      <formula>$E5="P0"</formula>
    </cfRule>
    <cfRule type="expression" dxfId="29" priority="3">
      <formula>$E5="P1"</formula>
    </cfRule>
    <cfRule type="expression" dxfId="28" priority="4">
      <formula>$E5="P2"</formula>
    </cfRule>
  </conditionalFormatting>
  <dataValidations count="1">
    <dataValidation type="list" sqref="A5:A44" xr:uid="{00000000-0002-0000-20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0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73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1915</v>
      </c>
      <c r="C5" s="3" t="s">
        <v>1916</v>
      </c>
      <c r="D5" s="3" t="s">
        <v>1917</v>
      </c>
      <c r="E5" s="3" t="s">
        <v>116</v>
      </c>
    </row>
    <row r="6" spans="1:5" x14ac:dyDescent="0.25">
      <c r="A6" s="5" t="s">
        <v>92</v>
      </c>
      <c r="B6" s="3" t="s">
        <v>1918</v>
      </c>
      <c r="C6" s="3" t="s">
        <v>1916</v>
      </c>
      <c r="D6" s="3" t="s">
        <v>1919</v>
      </c>
      <c r="E6" s="3" t="s">
        <v>116</v>
      </c>
    </row>
    <row r="7" spans="1:5" x14ac:dyDescent="0.25">
      <c r="A7" s="5" t="s">
        <v>92</v>
      </c>
      <c r="B7" s="3" t="s">
        <v>1920</v>
      </c>
      <c r="C7" s="3" t="s">
        <v>1916</v>
      </c>
      <c r="D7" s="3" t="s">
        <v>1921</v>
      </c>
      <c r="E7" s="3" t="s">
        <v>116</v>
      </c>
    </row>
    <row r="8" spans="1:5" x14ac:dyDescent="0.25">
      <c r="A8" s="5" t="s">
        <v>92</v>
      </c>
      <c r="B8" s="3" t="s">
        <v>1922</v>
      </c>
      <c r="C8" s="3" t="s">
        <v>1916</v>
      </c>
      <c r="D8" s="3" t="s">
        <v>1923</v>
      </c>
      <c r="E8" s="3" t="s">
        <v>121</v>
      </c>
    </row>
    <row r="9" spans="1:5" x14ac:dyDescent="0.25">
      <c r="A9" s="5" t="s">
        <v>92</v>
      </c>
      <c r="B9" s="3" t="s">
        <v>1924</v>
      </c>
      <c r="C9" s="3" t="s">
        <v>1916</v>
      </c>
      <c r="D9" s="3" t="s">
        <v>1925</v>
      </c>
      <c r="E9" s="3" t="s">
        <v>121</v>
      </c>
    </row>
    <row r="10" spans="1:5" x14ac:dyDescent="0.25">
      <c r="A10" s="5" t="s">
        <v>92</v>
      </c>
      <c r="B10" s="3" t="s">
        <v>1926</v>
      </c>
      <c r="C10" s="3" t="s">
        <v>1916</v>
      </c>
      <c r="D10" s="3" t="s">
        <v>1927</v>
      </c>
      <c r="E10" s="3" t="s">
        <v>121</v>
      </c>
    </row>
    <row r="11" spans="1:5" x14ac:dyDescent="0.25">
      <c r="A11" s="5" t="s">
        <v>92</v>
      </c>
      <c r="B11" s="3" t="s">
        <v>1928</v>
      </c>
      <c r="C11" s="3" t="s">
        <v>1916</v>
      </c>
      <c r="D11" s="3" t="s">
        <v>1929</v>
      </c>
      <c r="E11" s="3" t="s">
        <v>121</v>
      </c>
    </row>
    <row r="12" spans="1:5" x14ac:dyDescent="0.25">
      <c r="A12" s="5" t="s">
        <v>92</v>
      </c>
      <c r="B12" s="3" t="s">
        <v>1930</v>
      </c>
      <c r="C12" s="3" t="s">
        <v>1916</v>
      </c>
      <c r="D12" s="3" t="s">
        <v>1931</v>
      </c>
      <c r="E12" s="3" t="s">
        <v>116</v>
      </c>
    </row>
    <row r="13" spans="1:5" x14ac:dyDescent="0.25">
      <c r="A13" s="5" t="s">
        <v>92</v>
      </c>
      <c r="B13" s="3" t="s">
        <v>1932</v>
      </c>
      <c r="C13" s="3" t="s">
        <v>1916</v>
      </c>
      <c r="D13" s="3" t="s">
        <v>1933</v>
      </c>
      <c r="E13" s="3" t="s">
        <v>116</v>
      </c>
    </row>
    <row r="14" spans="1:5" x14ac:dyDescent="0.25">
      <c r="A14" s="5" t="s">
        <v>92</v>
      </c>
      <c r="B14" s="3" t="s">
        <v>1934</v>
      </c>
      <c r="C14" s="3" t="s">
        <v>1916</v>
      </c>
      <c r="D14" s="3" t="s">
        <v>1935</v>
      </c>
      <c r="E14" s="3" t="s">
        <v>121</v>
      </c>
    </row>
    <row r="15" spans="1:5" x14ac:dyDescent="0.25">
      <c r="A15" s="5" t="s">
        <v>92</v>
      </c>
      <c r="B15" s="3" t="s">
        <v>1936</v>
      </c>
      <c r="C15" s="3" t="s">
        <v>1916</v>
      </c>
      <c r="D15" s="3" t="s">
        <v>1937</v>
      </c>
      <c r="E15" s="3" t="s">
        <v>121</v>
      </c>
    </row>
    <row r="16" spans="1:5" x14ac:dyDescent="0.25">
      <c r="A16" s="5" t="s">
        <v>92</v>
      </c>
      <c r="B16" s="3" t="s">
        <v>1938</v>
      </c>
      <c r="C16" s="3" t="s">
        <v>1939</v>
      </c>
      <c r="D16" s="3" t="s">
        <v>1940</v>
      </c>
      <c r="E16" s="3" t="s">
        <v>116</v>
      </c>
    </row>
    <row r="17" spans="1:5" x14ac:dyDescent="0.25">
      <c r="A17" s="5" t="s">
        <v>92</v>
      </c>
      <c r="B17" s="3" t="s">
        <v>1941</v>
      </c>
      <c r="C17" s="3" t="s">
        <v>1939</v>
      </c>
      <c r="D17" s="3" t="s">
        <v>1942</v>
      </c>
      <c r="E17" s="3" t="s">
        <v>116</v>
      </c>
    </row>
    <row r="18" spans="1:5" x14ac:dyDescent="0.25">
      <c r="A18" s="5" t="s">
        <v>92</v>
      </c>
      <c r="B18" s="3" t="s">
        <v>1943</v>
      </c>
      <c r="C18" s="3" t="s">
        <v>1939</v>
      </c>
      <c r="D18" s="3" t="s">
        <v>1944</v>
      </c>
      <c r="E18" s="3" t="s">
        <v>121</v>
      </c>
    </row>
    <row r="19" spans="1:5" x14ac:dyDescent="0.25">
      <c r="A19" s="5" t="s">
        <v>92</v>
      </c>
      <c r="B19" s="3" t="s">
        <v>1945</v>
      </c>
      <c r="C19" s="3" t="s">
        <v>1939</v>
      </c>
      <c r="D19" s="3" t="s">
        <v>1946</v>
      </c>
      <c r="E19" s="3" t="s">
        <v>121</v>
      </c>
    </row>
    <row r="20" spans="1:5" x14ac:dyDescent="0.25">
      <c r="A20" s="5" t="s">
        <v>92</v>
      </c>
      <c r="B20" s="3" t="s">
        <v>1947</v>
      </c>
      <c r="C20" s="3" t="s">
        <v>1939</v>
      </c>
      <c r="D20" s="3" t="s">
        <v>1948</v>
      </c>
      <c r="E20" s="3" t="s">
        <v>121</v>
      </c>
    </row>
  </sheetData>
  <mergeCells count="2">
    <mergeCell ref="A1:E1"/>
    <mergeCell ref="A2:E2"/>
  </mergeCells>
  <conditionalFormatting sqref="A5:A20">
    <cfRule type="expression" dxfId="27" priority="1">
      <formula>A5="☑"</formula>
    </cfRule>
  </conditionalFormatting>
  <conditionalFormatting sqref="E5:E20">
    <cfRule type="expression" dxfId="26" priority="2">
      <formula>$E5="P0"</formula>
    </cfRule>
    <cfRule type="expression" dxfId="25" priority="3">
      <formula>$E5="P1"</formula>
    </cfRule>
    <cfRule type="expression" dxfId="24" priority="4">
      <formula>$E5="P2"</formula>
    </cfRule>
  </conditionalFormatting>
  <dataValidations count="1">
    <dataValidation type="list" sqref="A5:A20" xr:uid="{00000000-0002-0000-21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8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75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1949</v>
      </c>
      <c r="C5" s="3" t="s">
        <v>1950</v>
      </c>
      <c r="D5" s="3" t="s">
        <v>1951</v>
      </c>
      <c r="E5" s="3" t="s">
        <v>116</v>
      </c>
    </row>
    <row r="6" spans="1:5" x14ac:dyDescent="0.25">
      <c r="A6" s="5" t="s">
        <v>92</v>
      </c>
      <c r="B6" s="3" t="s">
        <v>1952</v>
      </c>
      <c r="C6" s="3" t="s">
        <v>1950</v>
      </c>
      <c r="D6" s="3" t="s">
        <v>1953</v>
      </c>
      <c r="E6" s="3" t="s">
        <v>116</v>
      </c>
    </row>
    <row r="7" spans="1:5" x14ac:dyDescent="0.25">
      <c r="A7" s="5" t="s">
        <v>92</v>
      </c>
      <c r="B7" s="3" t="s">
        <v>1954</v>
      </c>
      <c r="C7" s="3" t="s">
        <v>1950</v>
      </c>
      <c r="D7" s="3" t="s">
        <v>1955</v>
      </c>
      <c r="E7" s="3" t="s">
        <v>116</v>
      </c>
    </row>
    <row r="8" spans="1:5" x14ac:dyDescent="0.25">
      <c r="A8" s="5" t="s">
        <v>92</v>
      </c>
      <c r="B8" s="3" t="s">
        <v>1956</v>
      </c>
      <c r="C8" s="3" t="s">
        <v>1950</v>
      </c>
      <c r="D8" s="3" t="s">
        <v>1957</v>
      </c>
      <c r="E8" s="3" t="s">
        <v>116</v>
      </c>
    </row>
    <row r="9" spans="1:5" x14ac:dyDescent="0.25">
      <c r="A9" s="5" t="s">
        <v>92</v>
      </c>
      <c r="B9" s="3" t="s">
        <v>1958</v>
      </c>
      <c r="C9" s="3" t="s">
        <v>1950</v>
      </c>
      <c r="D9" s="3" t="s">
        <v>1959</v>
      </c>
      <c r="E9" s="3" t="s">
        <v>116</v>
      </c>
    </row>
    <row r="10" spans="1:5" x14ac:dyDescent="0.25">
      <c r="A10" s="5" t="s">
        <v>92</v>
      </c>
      <c r="B10" s="3" t="s">
        <v>1960</v>
      </c>
      <c r="C10" s="3" t="s">
        <v>1950</v>
      </c>
      <c r="D10" s="3" t="s">
        <v>1961</v>
      </c>
      <c r="E10" s="3" t="s">
        <v>116</v>
      </c>
    </row>
    <row r="11" spans="1:5" x14ac:dyDescent="0.25">
      <c r="A11" s="5" t="s">
        <v>92</v>
      </c>
      <c r="B11" s="3" t="s">
        <v>1962</v>
      </c>
      <c r="C11" s="3" t="s">
        <v>1950</v>
      </c>
      <c r="D11" s="3" t="s">
        <v>1963</v>
      </c>
      <c r="E11" s="3" t="s">
        <v>121</v>
      </c>
    </row>
    <row r="12" spans="1:5" x14ac:dyDescent="0.25">
      <c r="A12" s="5" t="s">
        <v>92</v>
      </c>
      <c r="B12" s="3" t="s">
        <v>1964</v>
      </c>
      <c r="C12" s="3" t="s">
        <v>1950</v>
      </c>
      <c r="D12" s="3" t="s">
        <v>1965</v>
      </c>
      <c r="E12" s="3" t="s">
        <v>121</v>
      </c>
    </row>
    <row r="13" spans="1:5" x14ac:dyDescent="0.25">
      <c r="A13" s="5" t="s">
        <v>92</v>
      </c>
      <c r="B13" s="3" t="s">
        <v>1966</v>
      </c>
      <c r="C13" s="3" t="s">
        <v>1950</v>
      </c>
      <c r="D13" s="3" t="s">
        <v>1967</v>
      </c>
      <c r="E13" s="3" t="s">
        <v>116</v>
      </c>
    </row>
    <row r="14" spans="1:5" x14ac:dyDescent="0.25">
      <c r="A14" s="5" t="s">
        <v>92</v>
      </c>
      <c r="B14" s="3" t="s">
        <v>1968</v>
      </c>
      <c r="C14" s="3" t="s">
        <v>1950</v>
      </c>
      <c r="D14" s="3" t="s">
        <v>1969</v>
      </c>
      <c r="E14" s="3" t="s">
        <v>116</v>
      </c>
    </row>
    <row r="15" spans="1:5" x14ac:dyDescent="0.25">
      <c r="A15" s="5" t="s">
        <v>92</v>
      </c>
      <c r="B15" s="3" t="s">
        <v>1970</v>
      </c>
      <c r="C15" s="3" t="s">
        <v>1950</v>
      </c>
      <c r="D15" s="3" t="s">
        <v>1971</v>
      </c>
      <c r="E15" s="3" t="s">
        <v>116</v>
      </c>
    </row>
    <row r="16" spans="1:5" x14ac:dyDescent="0.25">
      <c r="A16" s="5" t="s">
        <v>92</v>
      </c>
      <c r="B16" s="3" t="s">
        <v>1972</v>
      </c>
      <c r="C16" s="3" t="s">
        <v>1950</v>
      </c>
      <c r="D16" s="3" t="s">
        <v>1973</v>
      </c>
      <c r="E16" s="3" t="s">
        <v>116</v>
      </c>
    </row>
    <row r="17" spans="1:5" x14ac:dyDescent="0.25">
      <c r="A17" s="5" t="s">
        <v>92</v>
      </c>
      <c r="B17" s="3" t="s">
        <v>1974</v>
      </c>
      <c r="C17" s="3" t="s">
        <v>1950</v>
      </c>
      <c r="D17" s="3" t="s">
        <v>1975</v>
      </c>
      <c r="E17" s="3" t="s">
        <v>116</v>
      </c>
    </row>
    <row r="18" spans="1:5" x14ac:dyDescent="0.25">
      <c r="A18" s="5" t="s">
        <v>92</v>
      </c>
      <c r="B18" s="3" t="s">
        <v>1976</v>
      </c>
      <c r="C18" s="3" t="s">
        <v>1950</v>
      </c>
      <c r="D18" s="3" t="s">
        <v>1977</v>
      </c>
      <c r="E18" s="3" t="s">
        <v>121</v>
      </c>
    </row>
  </sheetData>
  <mergeCells count="2">
    <mergeCell ref="A1:E1"/>
    <mergeCell ref="A2:E2"/>
  </mergeCells>
  <conditionalFormatting sqref="A5:A18">
    <cfRule type="expression" dxfId="23" priority="1">
      <formula>A5="☑"</formula>
    </cfRule>
  </conditionalFormatting>
  <conditionalFormatting sqref="E5:E18">
    <cfRule type="expression" dxfId="22" priority="2">
      <formula>$E5="P0"</formula>
    </cfRule>
    <cfRule type="expression" dxfId="21" priority="3">
      <formula>$E5="P1"</formula>
    </cfRule>
    <cfRule type="expression" dxfId="20" priority="4">
      <formula>$E5="P2"</formula>
    </cfRule>
  </conditionalFormatting>
  <dataValidations count="1">
    <dataValidation type="list" sqref="A5:A18" xr:uid="{00000000-0002-0000-22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8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77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1978</v>
      </c>
      <c r="C5" s="3" t="s">
        <v>1979</v>
      </c>
      <c r="D5" s="3" t="s">
        <v>1980</v>
      </c>
      <c r="E5" s="3" t="s">
        <v>116</v>
      </c>
    </row>
    <row r="6" spans="1:5" x14ac:dyDescent="0.25">
      <c r="A6" s="5" t="s">
        <v>92</v>
      </c>
      <c r="B6" s="3" t="s">
        <v>1981</v>
      </c>
      <c r="C6" s="3" t="s">
        <v>1979</v>
      </c>
      <c r="D6" s="3" t="s">
        <v>1982</v>
      </c>
      <c r="E6" s="3" t="s">
        <v>116</v>
      </c>
    </row>
    <row r="7" spans="1:5" x14ac:dyDescent="0.25">
      <c r="A7" s="5" t="s">
        <v>92</v>
      </c>
      <c r="B7" s="3" t="s">
        <v>1983</v>
      </c>
      <c r="C7" s="3" t="s">
        <v>1979</v>
      </c>
      <c r="D7" s="3" t="s">
        <v>1984</v>
      </c>
      <c r="E7" s="3" t="s">
        <v>116</v>
      </c>
    </row>
    <row r="8" spans="1:5" x14ac:dyDescent="0.25">
      <c r="A8" s="5" t="s">
        <v>92</v>
      </c>
      <c r="B8" s="3" t="s">
        <v>1985</v>
      </c>
      <c r="C8" s="3" t="s">
        <v>1979</v>
      </c>
      <c r="D8" s="3" t="s">
        <v>1986</v>
      </c>
      <c r="E8" s="3" t="s">
        <v>116</v>
      </c>
    </row>
    <row r="9" spans="1:5" x14ac:dyDescent="0.25">
      <c r="A9" s="5" t="s">
        <v>92</v>
      </c>
      <c r="B9" s="3" t="s">
        <v>1987</v>
      </c>
      <c r="C9" s="3" t="s">
        <v>1979</v>
      </c>
      <c r="D9" s="3" t="s">
        <v>1988</v>
      </c>
      <c r="E9" s="3" t="s">
        <v>116</v>
      </c>
    </row>
    <row r="10" spans="1:5" x14ac:dyDescent="0.25">
      <c r="A10" s="5" t="s">
        <v>92</v>
      </c>
      <c r="B10" s="3" t="s">
        <v>1989</v>
      </c>
      <c r="C10" s="3" t="s">
        <v>1979</v>
      </c>
      <c r="D10" s="3" t="s">
        <v>1990</v>
      </c>
      <c r="E10" s="3" t="s">
        <v>116</v>
      </c>
    </row>
    <row r="11" spans="1:5" x14ac:dyDescent="0.25">
      <c r="A11" s="5" t="s">
        <v>92</v>
      </c>
      <c r="B11" s="3" t="s">
        <v>1991</v>
      </c>
      <c r="C11" s="3" t="s">
        <v>1979</v>
      </c>
      <c r="D11" s="3" t="s">
        <v>1992</v>
      </c>
      <c r="E11" s="3" t="s">
        <v>116</v>
      </c>
    </row>
    <row r="12" spans="1:5" x14ac:dyDescent="0.25">
      <c r="A12" s="5" t="s">
        <v>92</v>
      </c>
      <c r="B12" s="3" t="s">
        <v>1993</v>
      </c>
      <c r="C12" s="3" t="s">
        <v>1979</v>
      </c>
      <c r="D12" s="3" t="s">
        <v>1994</v>
      </c>
      <c r="E12" s="3" t="s">
        <v>116</v>
      </c>
    </row>
    <row r="13" spans="1:5" x14ac:dyDescent="0.25">
      <c r="A13" s="5" t="s">
        <v>92</v>
      </c>
      <c r="B13" s="3" t="s">
        <v>1995</v>
      </c>
      <c r="C13" s="3" t="s">
        <v>1979</v>
      </c>
      <c r="D13" s="3" t="s">
        <v>1996</v>
      </c>
      <c r="E13" s="3" t="s">
        <v>116</v>
      </c>
    </row>
    <row r="14" spans="1:5" x14ac:dyDescent="0.25">
      <c r="A14" s="5" t="s">
        <v>92</v>
      </c>
      <c r="B14" s="3" t="s">
        <v>1997</v>
      </c>
      <c r="C14" s="3" t="s">
        <v>1979</v>
      </c>
      <c r="D14" s="3" t="s">
        <v>1998</v>
      </c>
      <c r="E14" s="3" t="s">
        <v>116</v>
      </c>
    </row>
    <row r="15" spans="1:5" x14ac:dyDescent="0.25">
      <c r="A15" s="5" t="s">
        <v>92</v>
      </c>
      <c r="B15" s="3" t="s">
        <v>1999</v>
      </c>
      <c r="C15" s="3" t="s">
        <v>1979</v>
      </c>
      <c r="D15" s="3" t="s">
        <v>2000</v>
      </c>
      <c r="E15" s="3" t="s">
        <v>116</v>
      </c>
    </row>
    <row r="16" spans="1:5" x14ac:dyDescent="0.25">
      <c r="A16" s="5" t="s">
        <v>92</v>
      </c>
      <c r="B16" s="3" t="s">
        <v>2001</v>
      </c>
      <c r="C16" s="3" t="s">
        <v>1979</v>
      </c>
      <c r="D16" s="3" t="s">
        <v>2002</v>
      </c>
      <c r="E16" s="3" t="s">
        <v>116</v>
      </c>
    </row>
    <row r="17" spans="1:5" x14ac:dyDescent="0.25">
      <c r="A17" s="5" t="s">
        <v>92</v>
      </c>
      <c r="B17" s="3" t="s">
        <v>2003</v>
      </c>
      <c r="C17" s="3" t="s">
        <v>1979</v>
      </c>
      <c r="D17" s="3" t="s">
        <v>2004</v>
      </c>
      <c r="E17" s="3" t="s">
        <v>116</v>
      </c>
    </row>
    <row r="18" spans="1:5" x14ac:dyDescent="0.25">
      <c r="A18" s="5" t="s">
        <v>92</v>
      </c>
      <c r="B18" s="3" t="s">
        <v>2005</v>
      </c>
      <c r="C18" s="3" t="s">
        <v>1979</v>
      </c>
      <c r="D18" s="3" t="s">
        <v>2006</v>
      </c>
      <c r="E18" s="3" t="s">
        <v>116</v>
      </c>
    </row>
  </sheetData>
  <mergeCells count="2">
    <mergeCell ref="A1:E1"/>
    <mergeCell ref="A2:E2"/>
  </mergeCells>
  <conditionalFormatting sqref="A5:A18">
    <cfRule type="expression" dxfId="19" priority="1">
      <formula>A5="☑"</formula>
    </cfRule>
  </conditionalFormatting>
  <conditionalFormatting sqref="E5:E18">
    <cfRule type="expression" dxfId="18" priority="2">
      <formula>$E5="P0"</formula>
    </cfRule>
    <cfRule type="expression" dxfId="17" priority="3">
      <formula>$E5="P1"</formula>
    </cfRule>
    <cfRule type="expression" dxfId="16" priority="4">
      <formula>$E5="P2"</formula>
    </cfRule>
  </conditionalFormatting>
  <dataValidations count="1">
    <dataValidation type="list" sqref="A5:A18" xr:uid="{00000000-0002-0000-23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9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79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2007</v>
      </c>
      <c r="C5" s="3" t="s">
        <v>2008</v>
      </c>
      <c r="D5" s="3" t="s">
        <v>2009</v>
      </c>
      <c r="E5" s="3" t="s">
        <v>116</v>
      </c>
    </row>
    <row r="6" spans="1:5" x14ac:dyDescent="0.25">
      <c r="A6" s="5" t="s">
        <v>92</v>
      </c>
      <c r="B6" s="3" t="s">
        <v>2010</v>
      </c>
      <c r="C6" s="3" t="s">
        <v>2008</v>
      </c>
      <c r="D6" s="3" t="s">
        <v>2011</v>
      </c>
      <c r="E6" s="3" t="s">
        <v>116</v>
      </c>
    </row>
    <row r="7" spans="1:5" x14ac:dyDescent="0.25">
      <c r="A7" s="5" t="s">
        <v>92</v>
      </c>
      <c r="B7" s="3" t="s">
        <v>2012</v>
      </c>
      <c r="C7" s="3" t="s">
        <v>2008</v>
      </c>
      <c r="D7" s="3" t="s">
        <v>2013</v>
      </c>
      <c r="E7" s="3" t="s">
        <v>116</v>
      </c>
    </row>
    <row r="8" spans="1:5" x14ac:dyDescent="0.25">
      <c r="A8" s="5" t="s">
        <v>92</v>
      </c>
      <c r="B8" s="3" t="s">
        <v>2014</v>
      </c>
      <c r="C8" s="3" t="s">
        <v>2008</v>
      </c>
      <c r="D8" s="3" t="s">
        <v>2015</v>
      </c>
      <c r="E8" s="3" t="s">
        <v>116</v>
      </c>
    </row>
    <row r="9" spans="1:5" x14ac:dyDescent="0.25">
      <c r="A9" s="5" t="s">
        <v>92</v>
      </c>
      <c r="B9" s="3" t="s">
        <v>2016</v>
      </c>
      <c r="C9" s="3" t="s">
        <v>2008</v>
      </c>
      <c r="D9" s="3" t="s">
        <v>2017</v>
      </c>
      <c r="E9" s="3" t="s">
        <v>121</v>
      </c>
    </row>
    <row r="10" spans="1:5" x14ac:dyDescent="0.25">
      <c r="A10" s="5" t="s">
        <v>92</v>
      </c>
      <c r="B10" s="3" t="s">
        <v>2018</v>
      </c>
      <c r="C10" s="3" t="s">
        <v>2008</v>
      </c>
      <c r="D10" s="3" t="s">
        <v>2019</v>
      </c>
      <c r="E10" s="3" t="s">
        <v>121</v>
      </c>
    </row>
    <row r="11" spans="1:5" x14ac:dyDescent="0.25">
      <c r="A11" s="5" t="s">
        <v>92</v>
      </c>
      <c r="B11" s="3" t="s">
        <v>2020</v>
      </c>
      <c r="C11" s="3" t="s">
        <v>2008</v>
      </c>
      <c r="D11" s="3" t="s">
        <v>2021</v>
      </c>
      <c r="E11" s="3" t="s">
        <v>121</v>
      </c>
    </row>
    <row r="12" spans="1:5" x14ac:dyDescent="0.25">
      <c r="A12" s="5" t="s">
        <v>92</v>
      </c>
      <c r="B12" s="3" t="s">
        <v>2022</v>
      </c>
      <c r="C12" s="3" t="s">
        <v>2008</v>
      </c>
      <c r="D12" s="3" t="s">
        <v>2023</v>
      </c>
      <c r="E12" s="3" t="s">
        <v>121</v>
      </c>
    </row>
    <row r="13" spans="1:5" x14ac:dyDescent="0.25">
      <c r="A13" s="5" t="s">
        <v>92</v>
      </c>
      <c r="B13" s="3" t="s">
        <v>2024</v>
      </c>
      <c r="C13" s="3" t="s">
        <v>2008</v>
      </c>
      <c r="D13" s="3" t="s">
        <v>2025</v>
      </c>
      <c r="E13" s="3" t="s">
        <v>116</v>
      </c>
    </row>
    <row r="14" spans="1:5" x14ac:dyDescent="0.25">
      <c r="A14" s="5" t="s">
        <v>92</v>
      </c>
      <c r="B14" s="3" t="s">
        <v>2026</v>
      </c>
      <c r="C14" s="3" t="s">
        <v>2008</v>
      </c>
      <c r="D14" s="3" t="s">
        <v>2027</v>
      </c>
      <c r="E14" s="3" t="s">
        <v>116</v>
      </c>
    </row>
    <row r="15" spans="1:5" x14ac:dyDescent="0.25">
      <c r="A15" s="5" t="s">
        <v>92</v>
      </c>
      <c r="B15" s="3" t="s">
        <v>2028</v>
      </c>
      <c r="C15" s="3" t="s">
        <v>2008</v>
      </c>
      <c r="D15" s="3" t="s">
        <v>2029</v>
      </c>
      <c r="E15" s="3" t="s">
        <v>121</v>
      </c>
    </row>
    <row r="16" spans="1:5" x14ac:dyDescent="0.25">
      <c r="A16" s="5" t="s">
        <v>92</v>
      </c>
      <c r="B16" s="3" t="s">
        <v>2030</v>
      </c>
      <c r="C16" s="3" t="s">
        <v>2008</v>
      </c>
      <c r="D16" s="3" t="s">
        <v>2031</v>
      </c>
      <c r="E16" s="3" t="s">
        <v>121</v>
      </c>
    </row>
    <row r="17" spans="1:5" x14ac:dyDescent="0.25">
      <c r="A17" s="5" t="s">
        <v>92</v>
      </c>
      <c r="B17" s="3" t="s">
        <v>2032</v>
      </c>
      <c r="C17" s="3" t="s">
        <v>2008</v>
      </c>
      <c r="D17" s="3" t="s">
        <v>2033</v>
      </c>
      <c r="E17" s="3" t="s">
        <v>116</v>
      </c>
    </row>
    <row r="18" spans="1:5" x14ac:dyDescent="0.25">
      <c r="A18" s="5" t="s">
        <v>92</v>
      </c>
      <c r="B18" s="3" t="s">
        <v>2034</v>
      </c>
      <c r="C18" s="3" t="s">
        <v>2008</v>
      </c>
      <c r="D18" s="3" t="s">
        <v>2035</v>
      </c>
      <c r="E18" s="3" t="s">
        <v>116</v>
      </c>
    </row>
    <row r="19" spans="1:5" x14ac:dyDescent="0.25">
      <c r="A19" s="5" t="s">
        <v>92</v>
      </c>
      <c r="B19" s="3" t="s">
        <v>2036</v>
      </c>
      <c r="C19" s="3" t="s">
        <v>2008</v>
      </c>
      <c r="D19" s="3" t="s">
        <v>2037</v>
      </c>
      <c r="E19" s="3" t="s">
        <v>121</v>
      </c>
    </row>
  </sheetData>
  <mergeCells count="2">
    <mergeCell ref="A1:E1"/>
    <mergeCell ref="A2:E2"/>
  </mergeCells>
  <conditionalFormatting sqref="A5:A19">
    <cfRule type="expression" dxfId="15" priority="1">
      <formula>A5="☑"</formula>
    </cfRule>
  </conditionalFormatting>
  <conditionalFormatting sqref="E5:E19">
    <cfRule type="expression" dxfId="14" priority="2">
      <formula>$E5="P0"</formula>
    </cfRule>
    <cfRule type="expression" dxfId="13" priority="3">
      <formula>$E5="P1"</formula>
    </cfRule>
    <cfRule type="expression" dxfId="12" priority="4">
      <formula>$E5="P2"</formula>
    </cfRule>
  </conditionalFormatting>
  <dataValidations count="1">
    <dataValidation type="list" sqref="A5:A19" xr:uid="{00000000-0002-0000-24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81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2038</v>
      </c>
      <c r="C5" s="3" t="s">
        <v>1380</v>
      </c>
      <c r="D5" s="3" t="s">
        <v>2039</v>
      </c>
      <c r="E5" s="3" t="s">
        <v>121</v>
      </c>
    </row>
    <row r="6" spans="1:5" x14ac:dyDescent="0.25">
      <c r="A6" s="5" t="s">
        <v>92</v>
      </c>
      <c r="B6" s="3" t="s">
        <v>2040</v>
      </c>
      <c r="C6" s="3" t="s">
        <v>1380</v>
      </c>
      <c r="D6" s="3" t="s">
        <v>2041</v>
      </c>
      <c r="E6" s="3" t="s">
        <v>121</v>
      </c>
    </row>
    <row r="7" spans="1:5" x14ac:dyDescent="0.25">
      <c r="A7" s="5" t="s">
        <v>92</v>
      </c>
      <c r="B7" s="3" t="s">
        <v>2042</v>
      </c>
      <c r="C7" s="3" t="s">
        <v>1380</v>
      </c>
      <c r="D7" s="3" t="s">
        <v>2043</v>
      </c>
      <c r="E7" s="3" t="s">
        <v>121</v>
      </c>
    </row>
    <row r="8" spans="1:5" x14ac:dyDescent="0.25">
      <c r="A8" s="5" t="s">
        <v>92</v>
      </c>
      <c r="B8" s="3" t="s">
        <v>2044</v>
      </c>
      <c r="C8" s="3" t="s">
        <v>1380</v>
      </c>
      <c r="D8" s="3" t="s">
        <v>2045</v>
      </c>
      <c r="E8" s="3" t="s">
        <v>121</v>
      </c>
    </row>
    <row r="9" spans="1:5" x14ac:dyDescent="0.25">
      <c r="A9" s="5" t="s">
        <v>92</v>
      </c>
      <c r="B9" s="3" t="s">
        <v>2046</v>
      </c>
      <c r="C9" s="3" t="s">
        <v>1380</v>
      </c>
      <c r="D9" s="3" t="s">
        <v>2047</v>
      </c>
      <c r="E9" s="3" t="s">
        <v>121</v>
      </c>
    </row>
    <row r="10" spans="1:5" x14ac:dyDescent="0.25">
      <c r="A10" s="5" t="s">
        <v>92</v>
      </c>
      <c r="B10" s="3" t="s">
        <v>2048</v>
      </c>
      <c r="C10" s="3" t="s">
        <v>1380</v>
      </c>
      <c r="D10" s="3" t="s">
        <v>2049</v>
      </c>
      <c r="E10" s="3" t="s">
        <v>121</v>
      </c>
    </row>
    <row r="11" spans="1:5" x14ac:dyDescent="0.25">
      <c r="A11" s="5" t="s">
        <v>92</v>
      </c>
      <c r="B11" s="3" t="s">
        <v>2050</v>
      </c>
      <c r="C11" s="3" t="s">
        <v>1380</v>
      </c>
      <c r="D11" s="3" t="s">
        <v>2051</v>
      </c>
      <c r="E11" s="3" t="s">
        <v>121</v>
      </c>
    </row>
    <row r="12" spans="1:5" x14ac:dyDescent="0.25">
      <c r="A12" s="5" t="s">
        <v>92</v>
      </c>
      <c r="B12" s="3" t="s">
        <v>2052</v>
      </c>
      <c r="C12" s="3" t="s">
        <v>1380</v>
      </c>
      <c r="D12" s="3" t="s">
        <v>2053</v>
      </c>
      <c r="E12" s="3" t="s">
        <v>121</v>
      </c>
    </row>
    <row r="13" spans="1:5" x14ac:dyDescent="0.25">
      <c r="A13" s="5" t="s">
        <v>92</v>
      </c>
      <c r="B13" s="3" t="s">
        <v>2054</v>
      </c>
      <c r="C13" s="3" t="s">
        <v>1380</v>
      </c>
      <c r="D13" s="3" t="s">
        <v>2055</v>
      </c>
      <c r="E13" s="3" t="s">
        <v>121</v>
      </c>
    </row>
    <row r="14" spans="1:5" x14ac:dyDescent="0.25">
      <c r="A14" s="5" t="s">
        <v>92</v>
      </c>
      <c r="B14" s="3" t="s">
        <v>2056</v>
      </c>
      <c r="C14" s="3" t="s">
        <v>1380</v>
      </c>
      <c r="D14" s="3" t="s">
        <v>2057</v>
      </c>
      <c r="E14" s="3" t="s">
        <v>121</v>
      </c>
    </row>
    <row r="15" spans="1:5" x14ac:dyDescent="0.25">
      <c r="A15" s="5" t="s">
        <v>92</v>
      </c>
      <c r="B15" s="3" t="s">
        <v>2058</v>
      </c>
      <c r="C15" s="3" t="s">
        <v>1380</v>
      </c>
      <c r="D15" s="3" t="s">
        <v>2059</v>
      </c>
      <c r="E15" s="3" t="s">
        <v>121</v>
      </c>
    </row>
    <row r="16" spans="1:5" x14ac:dyDescent="0.25">
      <c r="A16" s="5" t="s">
        <v>92</v>
      </c>
      <c r="B16" s="3" t="s">
        <v>2060</v>
      </c>
      <c r="C16" s="3" t="s">
        <v>1380</v>
      </c>
      <c r="D16" s="3" t="s">
        <v>2061</v>
      </c>
      <c r="E16" s="3" t="s">
        <v>121</v>
      </c>
    </row>
    <row r="17" spans="1:5" x14ac:dyDescent="0.25">
      <c r="A17" s="5" t="s">
        <v>92</v>
      </c>
      <c r="B17" s="3" t="s">
        <v>2062</v>
      </c>
      <c r="C17" s="3" t="s">
        <v>1380</v>
      </c>
      <c r="D17" s="3" t="s">
        <v>2063</v>
      </c>
      <c r="E17" s="3" t="s">
        <v>121</v>
      </c>
    </row>
    <row r="18" spans="1:5" x14ac:dyDescent="0.25">
      <c r="A18" s="5" t="s">
        <v>92</v>
      </c>
      <c r="B18" s="3" t="s">
        <v>2064</v>
      </c>
      <c r="C18" s="3" t="s">
        <v>1380</v>
      </c>
      <c r="D18" s="3" t="s">
        <v>2065</v>
      </c>
      <c r="E18" s="3" t="s">
        <v>121</v>
      </c>
    </row>
    <row r="19" spans="1:5" x14ac:dyDescent="0.25">
      <c r="A19" s="5" t="s">
        <v>92</v>
      </c>
      <c r="B19" s="3" t="s">
        <v>2066</v>
      </c>
      <c r="C19" s="3" t="s">
        <v>1380</v>
      </c>
      <c r="D19" s="3" t="s">
        <v>2067</v>
      </c>
      <c r="E19" s="3" t="s">
        <v>121</v>
      </c>
    </row>
    <row r="20" spans="1:5" x14ac:dyDescent="0.25">
      <c r="A20" s="5" t="s">
        <v>92</v>
      </c>
      <c r="B20" s="3" t="s">
        <v>2068</v>
      </c>
      <c r="C20" s="3" t="s">
        <v>1380</v>
      </c>
      <c r="D20" s="3" t="s">
        <v>2069</v>
      </c>
      <c r="E20" s="3" t="s">
        <v>121</v>
      </c>
    </row>
    <row r="21" spans="1:5" x14ac:dyDescent="0.25">
      <c r="A21" s="5" t="s">
        <v>92</v>
      </c>
      <c r="B21" s="3" t="s">
        <v>2070</v>
      </c>
      <c r="C21" s="3" t="s">
        <v>1380</v>
      </c>
      <c r="D21" s="3" t="s">
        <v>2071</v>
      </c>
      <c r="E21" s="3" t="s">
        <v>121</v>
      </c>
    </row>
    <row r="22" spans="1:5" x14ac:dyDescent="0.25">
      <c r="A22" s="5" t="s">
        <v>92</v>
      </c>
      <c r="B22" s="3" t="s">
        <v>2072</v>
      </c>
      <c r="C22" s="3" t="s">
        <v>1380</v>
      </c>
      <c r="D22" s="3" t="s">
        <v>2073</v>
      </c>
      <c r="E22" s="3" t="s">
        <v>121</v>
      </c>
    </row>
    <row r="23" spans="1:5" x14ac:dyDescent="0.25">
      <c r="A23" s="5" t="s">
        <v>92</v>
      </c>
      <c r="B23" s="3" t="s">
        <v>2074</v>
      </c>
      <c r="C23" s="3" t="s">
        <v>1380</v>
      </c>
      <c r="D23" s="3" t="s">
        <v>2075</v>
      </c>
      <c r="E23" s="3" t="s">
        <v>121</v>
      </c>
    </row>
    <row r="24" spans="1:5" ht="30" x14ac:dyDescent="0.25">
      <c r="A24" s="5" t="s">
        <v>92</v>
      </c>
      <c r="B24" s="3" t="s">
        <v>2076</v>
      </c>
      <c r="C24" s="3" t="s">
        <v>1380</v>
      </c>
      <c r="D24" s="3" t="s">
        <v>2077</v>
      </c>
      <c r="E24" s="3" t="s">
        <v>121</v>
      </c>
    </row>
    <row r="25" spans="1:5" x14ac:dyDescent="0.25">
      <c r="A25" s="5" t="s">
        <v>92</v>
      </c>
      <c r="B25" s="3" t="s">
        <v>2078</v>
      </c>
      <c r="C25" s="3" t="s">
        <v>1380</v>
      </c>
      <c r="D25" s="3" t="s">
        <v>2079</v>
      </c>
      <c r="E25" s="3" t="s">
        <v>121</v>
      </c>
    </row>
    <row r="26" spans="1:5" x14ac:dyDescent="0.25">
      <c r="A26" s="5" t="s">
        <v>92</v>
      </c>
      <c r="B26" s="3" t="s">
        <v>2080</v>
      </c>
      <c r="C26" s="3" t="s">
        <v>1380</v>
      </c>
      <c r="D26" s="3" t="s">
        <v>2081</v>
      </c>
      <c r="E26" s="3" t="s">
        <v>121</v>
      </c>
    </row>
    <row r="27" spans="1:5" x14ac:dyDescent="0.25">
      <c r="A27" s="5" t="s">
        <v>92</v>
      </c>
      <c r="B27" s="3" t="s">
        <v>2082</v>
      </c>
      <c r="C27" s="3" t="s">
        <v>1380</v>
      </c>
      <c r="D27" s="3" t="s">
        <v>2083</v>
      </c>
      <c r="E27" s="3" t="s">
        <v>121</v>
      </c>
    </row>
    <row r="28" spans="1:5" x14ac:dyDescent="0.25">
      <c r="A28" s="5" t="s">
        <v>92</v>
      </c>
      <c r="B28" s="3" t="s">
        <v>2084</v>
      </c>
      <c r="C28" s="3" t="s">
        <v>1380</v>
      </c>
      <c r="D28" s="3" t="s">
        <v>2085</v>
      </c>
      <c r="E28" s="3" t="s">
        <v>121</v>
      </c>
    </row>
    <row r="29" spans="1:5" x14ac:dyDescent="0.25">
      <c r="A29" s="5" t="s">
        <v>92</v>
      </c>
      <c r="B29" s="3" t="s">
        <v>2086</v>
      </c>
      <c r="C29" s="3" t="s">
        <v>1380</v>
      </c>
      <c r="D29" s="3" t="s">
        <v>2087</v>
      </c>
      <c r="E29" s="3" t="s">
        <v>121</v>
      </c>
    </row>
    <row r="30" spans="1:5" x14ac:dyDescent="0.25">
      <c r="A30" s="5" t="s">
        <v>92</v>
      </c>
      <c r="B30" s="3" t="s">
        <v>2088</v>
      </c>
      <c r="C30" s="3" t="s">
        <v>1380</v>
      </c>
      <c r="D30" s="3" t="s">
        <v>2089</v>
      </c>
      <c r="E30" s="3" t="s">
        <v>121</v>
      </c>
    </row>
    <row r="31" spans="1:5" x14ac:dyDescent="0.25">
      <c r="A31" s="5" t="s">
        <v>92</v>
      </c>
      <c r="B31" s="3" t="s">
        <v>2090</v>
      </c>
      <c r="C31" s="3" t="s">
        <v>1380</v>
      </c>
      <c r="D31" s="3" t="s">
        <v>2091</v>
      </c>
      <c r="E31" s="3" t="s">
        <v>121</v>
      </c>
    </row>
    <row r="32" spans="1:5" x14ac:dyDescent="0.25">
      <c r="A32" s="5" t="s">
        <v>92</v>
      </c>
      <c r="B32" s="3" t="s">
        <v>2092</v>
      </c>
      <c r="C32" s="3" t="s">
        <v>1380</v>
      </c>
      <c r="D32" s="3" t="s">
        <v>2093</v>
      </c>
      <c r="E32" s="3" t="s">
        <v>121</v>
      </c>
    </row>
    <row r="33" spans="1:5" ht="30" x14ac:dyDescent="0.25">
      <c r="A33" s="5" t="s">
        <v>92</v>
      </c>
      <c r="B33" s="3" t="s">
        <v>2094</v>
      </c>
      <c r="C33" s="3" t="s">
        <v>1380</v>
      </c>
      <c r="D33" s="3" t="s">
        <v>2095</v>
      </c>
      <c r="E33" s="3" t="s">
        <v>121</v>
      </c>
    </row>
  </sheetData>
  <mergeCells count="2">
    <mergeCell ref="A1:E1"/>
    <mergeCell ref="A2:E2"/>
  </mergeCells>
  <conditionalFormatting sqref="A5:A33">
    <cfRule type="expression" dxfId="11" priority="1">
      <formula>A5="☑"</formula>
    </cfRule>
  </conditionalFormatting>
  <conditionalFormatting sqref="E5:E33">
    <cfRule type="expression" dxfId="10" priority="2">
      <formula>$E5="P0"</formula>
    </cfRule>
    <cfRule type="expression" dxfId="9" priority="3">
      <formula>$E5="P1"</formula>
    </cfRule>
    <cfRule type="expression" dxfId="8" priority="4">
      <formula>$E5="P2"</formula>
    </cfRule>
  </conditionalFormatting>
  <dataValidations count="1">
    <dataValidation type="list" sqref="A5:A33" xr:uid="{00000000-0002-0000-25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8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83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2096</v>
      </c>
      <c r="C5" s="3" t="s">
        <v>2097</v>
      </c>
      <c r="D5" s="3" t="s">
        <v>2098</v>
      </c>
      <c r="E5" s="3" t="s">
        <v>116</v>
      </c>
    </row>
    <row r="6" spans="1:5" x14ac:dyDescent="0.25">
      <c r="A6" s="5" t="s">
        <v>92</v>
      </c>
      <c r="B6" s="3" t="s">
        <v>2099</v>
      </c>
      <c r="C6" s="3" t="s">
        <v>2097</v>
      </c>
      <c r="D6" s="3" t="s">
        <v>2100</v>
      </c>
      <c r="E6" s="3" t="s">
        <v>116</v>
      </c>
    </row>
    <row r="7" spans="1:5" x14ac:dyDescent="0.25">
      <c r="A7" s="5" t="s">
        <v>92</v>
      </c>
      <c r="B7" s="3" t="s">
        <v>2101</v>
      </c>
      <c r="C7" s="3" t="s">
        <v>2097</v>
      </c>
      <c r="D7" s="3" t="s">
        <v>2102</v>
      </c>
      <c r="E7" s="3" t="s">
        <v>116</v>
      </c>
    </row>
    <row r="8" spans="1:5" x14ac:dyDescent="0.25">
      <c r="A8" s="5" t="s">
        <v>92</v>
      </c>
      <c r="B8" s="3" t="s">
        <v>2103</v>
      </c>
      <c r="C8" s="3" t="s">
        <v>2097</v>
      </c>
      <c r="D8" s="3" t="s">
        <v>2104</v>
      </c>
      <c r="E8" s="3" t="s">
        <v>121</v>
      </c>
    </row>
  </sheetData>
  <mergeCells count="2">
    <mergeCell ref="A1:E1"/>
    <mergeCell ref="A2:E2"/>
  </mergeCells>
  <conditionalFormatting sqref="A5:A8">
    <cfRule type="expression" dxfId="7" priority="1">
      <formula>A5="☑"</formula>
    </cfRule>
  </conditionalFormatting>
  <conditionalFormatting sqref="E5:E8">
    <cfRule type="expression" dxfId="6" priority="2">
      <formula>$E5="P0"</formula>
    </cfRule>
    <cfRule type="expression" dxfId="5" priority="3">
      <formula>$E5="P1"</formula>
    </cfRule>
    <cfRule type="expression" dxfId="4" priority="4">
      <formula>$E5="P2"</formula>
    </cfRule>
  </conditionalFormatting>
  <dataValidations count="1">
    <dataValidation type="list" sqref="A5:A8" xr:uid="{00000000-0002-0000-26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5"/>
  <sheetViews>
    <sheetView workbookViewId="0"/>
  </sheetViews>
  <sheetFormatPr defaultRowHeight="15" x14ac:dyDescent="0.25"/>
  <cols>
    <col min="1" max="1" width="9" customWidth="1"/>
    <col min="2" max="2" width="34" customWidth="1"/>
    <col min="3" max="3" width="28" customWidth="1"/>
    <col min="4" max="4" width="58" customWidth="1"/>
    <col min="5" max="5" width="13" customWidth="1"/>
  </cols>
  <sheetData>
    <row r="1" spans="1:5" x14ac:dyDescent="0.25">
      <c r="A1" s="10" t="s">
        <v>85</v>
      </c>
      <c r="B1" s="11"/>
      <c r="C1" s="11"/>
      <c r="D1" s="11"/>
      <c r="E1" s="11"/>
    </row>
    <row r="2" spans="1:5" x14ac:dyDescent="0.25">
      <c r="A2" s="12" t="s">
        <v>86</v>
      </c>
      <c r="B2" s="11"/>
      <c r="C2" s="11"/>
      <c r="D2" s="11"/>
      <c r="E2" s="11"/>
    </row>
    <row r="3" spans="1:5" x14ac:dyDescent="0.25">
      <c r="A3" s="3"/>
      <c r="B3" s="3"/>
      <c r="C3" s="3"/>
      <c r="D3" s="3"/>
      <c r="E3" s="3"/>
    </row>
    <row r="4" spans="1:5" x14ac:dyDescent="0.25">
      <c r="A4" s="4" t="s">
        <v>87</v>
      </c>
      <c r="B4" s="4" t="s">
        <v>88</v>
      </c>
      <c r="C4" s="4" t="s">
        <v>112</v>
      </c>
      <c r="D4" s="4" t="s">
        <v>90</v>
      </c>
      <c r="E4" s="4" t="s">
        <v>91</v>
      </c>
    </row>
    <row r="5" spans="1:5" x14ac:dyDescent="0.25">
      <c r="A5" s="5" t="s">
        <v>92</v>
      </c>
      <c r="B5" s="3" t="s">
        <v>2105</v>
      </c>
      <c r="C5" s="3" t="s">
        <v>2106</v>
      </c>
      <c r="D5" s="3" t="s">
        <v>2107</v>
      </c>
      <c r="E5" s="3" t="s">
        <v>116</v>
      </c>
    </row>
    <row r="6" spans="1:5" x14ac:dyDescent="0.25">
      <c r="A6" s="5" t="s">
        <v>92</v>
      </c>
      <c r="B6" s="3" t="s">
        <v>2108</v>
      </c>
      <c r="C6" s="3" t="s">
        <v>2106</v>
      </c>
      <c r="D6" s="3" t="s">
        <v>2109</v>
      </c>
      <c r="E6" s="3" t="s">
        <v>116</v>
      </c>
    </row>
    <row r="7" spans="1:5" ht="30" x14ac:dyDescent="0.25">
      <c r="A7" s="5" t="s">
        <v>92</v>
      </c>
      <c r="B7" s="3" t="s">
        <v>2110</v>
      </c>
      <c r="C7" s="3" t="s">
        <v>2106</v>
      </c>
      <c r="D7" s="3" t="s">
        <v>2111</v>
      </c>
      <c r="E7" s="3" t="s">
        <v>121</v>
      </c>
    </row>
    <row r="8" spans="1:5" ht="30" x14ac:dyDescent="0.25">
      <c r="A8" s="5" t="s">
        <v>92</v>
      </c>
      <c r="B8" s="3" t="s">
        <v>2112</v>
      </c>
      <c r="C8" s="3" t="s">
        <v>2106</v>
      </c>
      <c r="D8" s="3" t="s">
        <v>2113</v>
      </c>
      <c r="E8" s="3" t="s">
        <v>116</v>
      </c>
    </row>
    <row r="9" spans="1:5" x14ac:dyDescent="0.25">
      <c r="A9" s="5" t="s">
        <v>92</v>
      </c>
      <c r="B9" s="3" t="s">
        <v>2114</v>
      </c>
      <c r="C9" s="3" t="s">
        <v>2106</v>
      </c>
      <c r="D9" s="3" t="s">
        <v>2115</v>
      </c>
      <c r="E9" s="3" t="s">
        <v>116</v>
      </c>
    </row>
    <row r="10" spans="1:5" x14ac:dyDescent="0.25">
      <c r="A10" s="5" t="s">
        <v>92</v>
      </c>
      <c r="B10" s="3" t="s">
        <v>2116</v>
      </c>
      <c r="C10" s="3" t="s">
        <v>2106</v>
      </c>
      <c r="D10" s="3" t="s">
        <v>2117</v>
      </c>
      <c r="E10" s="3" t="s">
        <v>116</v>
      </c>
    </row>
    <row r="11" spans="1:5" x14ac:dyDescent="0.25">
      <c r="A11" s="5" t="s">
        <v>92</v>
      </c>
      <c r="B11" s="3" t="s">
        <v>2118</v>
      </c>
      <c r="C11" s="3" t="s">
        <v>2106</v>
      </c>
      <c r="D11" s="3" t="s">
        <v>2119</v>
      </c>
      <c r="E11" s="3" t="s">
        <v>121</v>
      </c>
    </row>
    <row r="12" spans="1:5" x14ac:dyDescent="0.25">
      <c r="A12" s="5" t="s">
        <v>92</v>
      </c>
      <c r="B12" s="3" t="s">
        <v>2120</v>
      </c>
      <c r="C12" s="3" t="s">
        <v>2106</v>
      </c>
      <c r="D12" s="3" t="s">
        <v>2121</v>
      </c>
      <c r="E12" s="3" t="s">
        <v>121</v>
      </c>
    </row>
    <row r="13" spans="1:5" x14ac:dyDescent="0.25">
      <c r="A13" s="5" t="s">
        <v>92</v>
      </c>
      <c r="B13" s="3" t="s">
        <v>2122</v>
      </c>
      <c r="C13" s="3" t="s">
        <v>2106</v>
      </c>
      <c r="D13" s="3" t="s">
        <v>2123</v>
      </c>
      <c r="E13" s="3" t="s">
        <v>121</v>
      </c>
    </row>
    <row r="14" spans="1:5" x14ac:dyDescent="0.25">
      <c r="A14" s="5" t="s">
        <v>92</v>
      </c>
      <c r="B14" s="3" t="s">
        <v>2124</v>
      </c>
      <c r="C14" s="3" t="s">
        <v>2106</v>
      </c>
      <c r="D14" s="3" t="s">
        <v>2125</v>
      </c>
      <c r="E14" s="3" t="s">
        <v>121</v>
      </c>
    </row>
    <row r="15" spans="1:5" x14ac:dyDescent="0.25">
      <c r="A15" s="5" t="s">
        <v>92</v>
      </c>
      <c r="B15" s="3" t="s">
        <v>2126</v>
      </c>
      <c r="C15" s="3" t="s">
        <v>2106</v>
      </c>
      <c r="D15" s="3" t="s">
        <v>2127</v>
      </c>
      <c r="E15" s="3" t="s">
        <v>142</v>
      </c>
    </row>
  </sheetData>
  <mergeCells count="2">
    <mergeCell ref="A1:E1"/>
    <mergeCell ref="A2:E2"/>
  </mergeCells>
  <conditionalFormatting sqref="A5:A15">
    <cfRule type="expression" dxfId="3" priority="1">
      <formula>A5="☑"</formula>
    </cfRule>
  </conditionalFormatting>
  <conditionalFormatting sqref="E5:E15">
    <cfRule type="expression" dxfId="2" priority="2">
      <formula>$E5="P0"</formula>
    </cfRule>
    <cfRule type="expression" dxfId="1" priority="3">
      <formula>$E5="P1"</formula>
    </cfRule>
    <cfRule type="expression" dxfId="0" priority="4">
      <formula>$E5="P2"</formula>
    </cfRule>
  </conditionalFormatting>
  <dataValidations count="1">
    <dataValidation type="list" sqref="A5:A15" xr:uid="{00000000-0002-0000-2700-000000000000}">
      <formula1>"☐,☑"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Summary</vt:lpstr>
      <vt:lpstr>00 Global Placeholder</vt:lpstr>
      <vt:lpstr>01 BGM</vt:lpstr>
      <vt:lpstr>02 Ambient Audio</vt:lpstr>
      <vt:lpstr>03 SFX - Board</vt:lpstr>
      <vt:lpstr>04 SFX - Special Blocks</vt:lpstr>
      <vt:lpstr>05 SFX - Combat</vt:lpstr>
      <vt:lpstr>06 SFX - Spells</vt:lpstr>
      <vt:lpstr>07 SFX - UI</vt:lpstr>
      <vt:lpstr>08 BG - Scenes</vt:lpstr>
      <vt:lpstr>09 BG - Stage Battle Parallax</vt:lpstr>
      <vt:lpstr>10 BG - Boss Arenas</vt:lpstr>
      <vt:lpstr>11 Map - Map BGs</vt:lpstr>
      <vt:lpstr>12 Map - Node States</vt:lpstr>
      <vt:lpstr>13 Map - Paths and Decorations</vt:lpstr>
      <vt:lpstr>14 - Heroes</vt:lpstr>
      <vt:lpstr>15 - Monsters</vt:lpstr>
      <vt:lpstr>16 - Bosses</vt:lpstr>
      <vt:lpstr>17 - NPCs</vt:lpstr>
      <vt:lpstr>18 - Board Blocks</vt:lpstr>
      <vt:lpstr>19 and VFX - Spells</vt:lpstr>
      <vt:lpstr>20 - Items</vt:lpstr>
      <vt:lpstr>21 - Relics</vt:lpstr>
      <vt:lpstr>22 - Upgrades</vt:lpstr>
      <vt:lpstr>23 and - Weapons</vt:lpstr>
      <vt:lpstr>24 - Status Effects</vt:lpstr>
      <vt:lpstr>25 - Oopsies</vt:lpstr>
      <vt:lpstr>26 - Festival Chaos Rules</vt:lpstr>
      <vt:lpstr>27 - Battle Objectives</vt:lpstr>
      <vt:lpstr>28 - Events</vt:lpstr>
      <vt:lpstr>29 - Boss Rule Cards</vt:lpstr>
      <vt:lpstr>30 - Currency Collect</vt:lpstr>
      <vt:lpstr>31 and - Hub Buildings</vt:lpstr>
      <vt:lpstr>32 UI - Panels Frames</vt:lpstr>
      <vt:lpstr>33 UI - Buttons</vt:lpstr>
      <vt:lpstr>34 UI - Controls</vt:lpstr>
      <vt:lpstr>35 UI - HUD</vt:lpstr>
      <vt:lpstr>36 VFX - VFX</vt:lpstr>
      <vt:lpstr>37 Font</vt:lpstr>
      <vt:lpstr>38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 Pham Cong</cp:lastModifiedBy>
  <dcterms:modified xsi:type="dcterms:W3CDTF">2026-05-15T09:18:49Z</dcterms:modified>
</cp:coreProperties>
</file>